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era\OneDrive\Desktop\live-data\"/>
    </mc:Choice>
  </mc:AlternateContent>
  <xr:revisionPtr revIDLastSave="0" documentId="13_ncr:1_{AF72CE4F-3E55-4D9B-9D14-3E9476533AB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redential" sheetId="1" r:id="rId1"/>
    <sheet name="nifty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3" i="2" l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31" i="2"/>
  <c r="Q30" i="2" s="1"/>
  <c r="Q29" i="2" s="1"/>
  <c r="Q28" i="2" s="1"/>
  <c r="Q27" i="2" s="1"/>
  <c r="Q26" i="2" s="1"/>
  <c r="Q25" i="2" s="1"/>
  <c r="Q24" i="2" s="1"/>
  <c r="Q23" i="2" s="1"/>
  <c r="Q22" i="2" s="1"/>
  <c r="Q21" i="2" s="1"/>
  <c r="Q20" i="2" s="1"/>
  <c r="Q19" i="2" s="1"/>
  <c r="Q18" i="2" s="1"/>
  <c r="Q17" i="2" s="1"/>
  <c r="Q16" i="2" s="1"/>
  <c r="Q15" i="2" s="1"/>
  <c r="Q14" i="2" s="1"/>
  <c r="Q13" i="2" s="1"/>
  <c r="Q12" i="2" s="1"/>
</calcChain>
</file>

<file path=xl/sharedStrings.xml><?xml version="1.0" encoding="utf-8"?>
<sst xmlns="http://schemas.openxmlformats.org/spreadsheetml/2006/main" count="43" uniqueCount="27">
  <si>
    <t>ANGLE CLIENT CODE</t>
  </si>
  <si>
    <t>ANGLE PASSWORD</t>
  </si>
  <si>
    <t>Angle API KEY</t>
  </si>
  <si>
    <t>ANGLE SECRET KEY</t>
  </si>
  <si>
    <t>ANGLE TOPT SECRET</t>
  </si>
  <si>
    <t>OI Chg</t>
  </si>
  <si>
    <t>OI</t>
  </si>
  <si>
    <t>LTP</t>
  </si>
  <si>
    <t>Strike Price</t>
  </si>
  <si>
    <t>Vega</t>
  </si>
  <si>
    <t>Theta</t>
  </si>
  <si>
    <t>Gamma</t>
  </si>
  <si>
    <t>Delta</t>
  </si>
  <si>
    <t>IV</t>
  </si>
  <si>
    <t>Token</t>
  </si>
  <si>
    <t>s</t>
  </si>
  <si>
    <t>CORRELATION ID</t>
  </si>
  <si>
    <t>41 Strikes Prices</t>
  </si>
  <si>
    <t>82 Tokens</t>
  </si>
  <si>
    <t>Q32</t>
  </si>
  <si>
    <t>VOLUME</t>
  </si>
  <si>
    <t>OPEN</t>
  </si>
  <si>
    <t>HIGH</t>
  </si>
  <si>
    <t>LOW</t>
  </si>
  <si>
    <t>CLOSE</t>
  </si>
  <si>
    <t>TIMESTAMP</t>
  </si>
  <si>
    <t>LTP CHG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</si>
</sst>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3" x14ac:knownFonts="1">
    <font>
      <sz val="11"/>
      <color theme="1"/>
      <name val="Calibri"/>
      <family val="2"/>
      <scheme val="minor"/>
    </font>
    <font>
      <sz val="8"/>
      <color rgb="FF6A9955"/>
      <name val="Consolas"/>
      <family val="3"/>
    </font>
    <font>
      <sz val="8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6EB61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0" fillId="2" borderId="0" xfId="0" applyFill="1"/>
    <xf numFmtId="0" fontId="0" fillId="2" borderId="1" xfId="0" applyFill="1" applyBorder="1"/>
    <xf numFmtId="0" fontId="0" fillId="3" borderId="1" xfId="0" applyFill="1" applyBorder="1"/>
    <xf numFmtId="0" fontId="0" fillId="3" borderId="0" xfId="0" applyFill="1"/>
    <xf numFmtId="0" fontId="0" fillId="4" borderId="0" xfId="0" applyFill="1"/>
    <xf numFmtId="0" fontId="0" fillId="4" borderId="1" xfId="0" applyFill="1" applyBorder="1"/>
    <xf numFmtId="164" fontId="0" fillId="3" borderId="1" xfId="0" applyNumberFormat="1" applyFill="1" applyBorder="1"/>
    <xf numFmtId="164" fontId="0" fillId="2" borderId="1" xfId="0" applyNumberFormat="1" applyFill="1" applyBorder="1"/>
    <xf numFmtId="164" fontId="0" fillId="4" borderId="1" xfId="0" applyNumberFormat="1" applyFill="1" applyBorder="1"/>
    <xf numFmtId="0" fontId="0" fillId="5" borderId="0" xfId="0" applyFill="1"/>
    <xf numFmtId="0" fontId="0" fillId="6" borderId="1" xfId="0" applyFill="1" applyBorder="1"/>
    <xf numFmtId="164" fontId="0" fillId="3" borderId="2" xfId="0" applyNumberFormat="1" applyFill="1" applyBorder="1"/>
    <xf numFmtId="0" fontId="0" fillId="3" borderId="2" xfId="0" applyFill="1" applyBorder="1"/>
    <xf numFmtId="0" fontId="0" fillId="6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7" borderId="8" xfId="0" applyFill="1" applyBorder="1"/>
  </cellXfs>
  <cellStyles count="1">
    <cellStyle name="Normal" xfId="0" builtinId="0"/>
  </cellStyles>
  <dxfs count="32">
    <dxf>
      <fill>
        <patternFill>
          <bgColor rgb="FFFF0000"/>
        </patternFill>
      </fill>
    </dxf>
    <dxf>
      <fill>
        <patternFill>
          <bgColor rgb="FF006400"/>
        </patternFill>
      </fill>
    </dxf>
    <dxf>
      <fill>
        <patternFill>
          <bgColor rgb="FF90EE9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6400"/>
        </patternFill>
      </fill>
    </dxf>
    <dxf>
      <fill>
        <patternFill>
          <bgColor rgb="FF90EE9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6400"/>
        </patternFill>
      </fill>
    </dxf>
    <dxf>
      <fill>
        <patternFill>
          <bgColor rgb="FF90EE9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6400"/>
        </patternFill>
      </fill>
    </dxf>
    <dxf>
      <fill>
        <patternFill>
          <bgColor rgb="FF90EE9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6400"/>
        </patternFill>
      </fill>
    </dxf>
    <dxf>
      <fill>
        <patternFill>
          <bgColor rgb="FF90EE9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6400"/>
        </patternFill>
      </fill>
    </dxf>
    <dxf>
      <fill>
        <patternFill>
          <bgColor rgb="FF90EE9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6400"/>
        </patternFill>
      </fill>
    </dxf>
    <dxf>
      <fill>
        <patternFill>
          <bgColor rgb="FF90EE9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6400"/>
        </patternFill>
      </fill>
    </dxf>
    <dxf>
      <fill>
        <patternFill>
          <bgColor rgb="FF90EE9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6"/>
  <sheetViews>
    <sheetView tabSelected="1" workbookViewId="0">
      <selection activeCell="B10" sqref="B10"/>
    </sheetView>
  </sheetViews>
  <sheetFormatPr defaultRowHeight="14.4" x14ac:dyDescent="0.3"/>
  <cols>
    <col min="1" max="1" width="30.77734375" customWidth="1"/>
    <col min="2" max="2" width="33.6640625" customWidth="1"/>
    <col min="3" max="3" width="15.33203125" customWidth="1"/>
    <col min="4" max="4" width="17.21875" customWidth="1"/>
  </cols>
  <sheetData>
    <row r="1" spans="1:2" x14ac:dyDescent="0.3">
      <c r="A1" t="s">
        <v>0</v>
      </c>
    </row>
    <row r="2" spans="1:2" x14ac:dyDescent="0.3">
      <c r="A2" t="s">
        <v>1</v>
      </c>
    </row>
    <row r="3" spans="1:2" x14ac:dyDescent="0.3">
      <c r="A3" t="s">
        <v>2</v>
      </c>
      <c r="B3" s="1"/>
    </row>
    <row r="4" spans="1:2" x14ac:dyDescent="0.3">
      <c r="A4" t="s">
        <v>3</v>
      </c>
      <c r="B4" s="2"/>
    </row>
    <row r="5" spans="1:2" x14ac:dyDescent="0.3">
      <c r="A5" t="s">
        <v>4</v>
      </c>
      <c r="B5" s="1"/>
    </row>
    <row r="6" spans="1:2" x14ac:dyDescent="0.3">
      <c r="A6" t="s">
        <v>16</v>
      </c>
      <c r="B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5D419-C6B9-4C22-A288-775411D9D8C9}">
  <sheetPr codeName="Sheet2"/>
  <dimension ref="A3:AM52"/>
  <sheetViews>
    <sheetView topLeftCell="C10" zoomScale="85" zoomScaleNormal="85" workbookViewId="0">
      <selection activeCell="T7" sqref="T7"/>
    </sheetView>
  </sheetViews>
  <sheetFormatPr defaultRowHeight="14.4" x14ac:dyDescent="0.3"/>
  <cols>
    <col min="1" max="1" width="20.88671875" customWidth="1"/>
    <col min="2" max="2" width="10.33203125" customWidth="1"/>
    <col min="3" max="3" width="9.33203125" customWidth="1"/>
    <col min="4" max="4" width="6.88671875" customWidth="1"/>
    <col min="5" max="5" width="7.44140625" customWidth="1"/>
    <col min="6" max="6" width="8.21875" customWidth="1"/>
    <col min="7" max="7" width="7.33203125" customWidth="1"/>
    <col min="8" max="8" width="8.21875" customWidth="1"/>
    <col min="9" max="9" width="7.33203125" customWidth="1"/>
    <col min="10" max="10" width="7.88671875" customWidth="1"/>
    <col min="11" max="11" width="6" customWidth="1"/>
    <col min="12" max="12" width="9.109375" customWidth="1"/>
    <col min="13" max="13" width="10.5546875" customWidth="1"/>
    <col min="14" max="14" width="11.5546875" customWidth="1"/>
    <col min="15" max="15" width="11.33203125" customWidth="1"/>
    <col min="16" max="16" width="9.88671875" customWidth="1"/>
    <col min="17" max="17" width="12.33203125" customWidth="1"/>
    <col min="18" max="18" width="9.21875" customWidth="1"/>
    <col min="19" max="19" width="8.44140625" customWidth="1"/>
    <col min="20" max="20" width="12.77734375" customWidth="1"/>
    <col min="22" max="22" width="7" customWidth="1"/>
    <col min="23" max="23" width="6.6640625" customWidth="1"/>
    <col min="33" max="33" width="20.6640625" customWidth="1"/>
  </cols>
  <sheetData>
    <row r="3" spans="1:39" x14ac:dyDescent="0.3">
      <c r="A3" t="s">
        <v>17</v>
      </c>
    </row>
    <row r="4" spans="1:39" x14ac:dyDescent="0.3">
      <c r="A4" t="s">
        <v>18</v>
      </c>
    </row>
    <row r="5" spans="1:39" x14ac:dyDescent="0.3">
      <c r="A5" t="s">
        <v>19</v>
      </c>
    </row>
    <row r="7" spans="1:39" x14ac:dyDescent="0.3">
      <c r="N7" s="12"/>
    </row>
    <row r="8" spans="1:39" x14ac:dyDescent="0.3">
      <c r="P8">
        <v>22957.25</v>
      </c>
    </row>
    <row r="9" spans="1:39" ht="15.6" customHeight="1" thickBot="1" x14ac:dyDescent="0.35"/>
    <row r="10" spans="1:39" ht="22.8" customHeight="1" thickBot="1" x14ac:dyDescent="0.35">
      <c r="Q10" s="22">
        <v>22957.25</v>
      </c>
    </row>
    <row r="11" spans="1:39" s="6" customFormat="1" ht="28.2" customHeight="1" thickBot="1" x14ac:dyDescent="0.35">
      <c r="A11" s="17" t="s">
        <v>25</v>
      </c>
      <c r="B11" s="18" t="s">
        <v>24</v>
      </c>
      <c r="C11" s="18" t="s">
        <v>21</v>
      </c>
      <c r="D11" s="18" t="s">
        <v>22</v>
      </c>
      <c r="E11" s="18" t="s">
        <v>23</v>
      </c>
      <c r="F11" s="18" t="s">
        <v>14</v>
      </c>
      <c r="G11" s="20" t="s">
        <v>9</v>
      </c>
      <c r="H11" s="20" t="s">
        <v>10</v>
      </c>
      <c r="I11" s="20" t="s">
        <v>11</v>
      </c>
      <c r="J11" s="20" t="s">
        <v>12</v>
      </c>
      <c r="K11" s="20" t="s">
        <v>13</v>
      </c>
      <c r="L11" s="20" t="s">
        <v>5</v>
      </c>
      <c r="M11" s="18" t="s">
        <v>6</v>
      </c>
      <c r="N11" s="18" t="s">
        <v>20</v>
      </c>
      <c r="O11" s="18" t="s">
        <v>26</v>
      </c>
      <c r="P11" s="18" t="s">
        <v>7</v>
      </c>
      <c r="Q11" s="21" t="s">
        <v>8</v>
      </c>
      <c r="R11" s="18" t="s">
        <v>7</v>
      </c>
      <c r="S11" s="18" t="s">
        <v>26</v>
      </c>
      <c r="T11" s="18" t="s">
        <v>20</v>
      </c>
      <c r="U11" s="18" t="s">
        <v>6</v>
      </c>
      <c r="V11" s="20" t="s">
        <v>5</v>
      </c>
      <c r="W11" s="20" t="s">
        <v>13</v>
      </c>
      <c r="X11" s="20" t="s">
        <v>12</v>
      </c>
      <c r="Y11" s="20" t="s">
        <v>11</v>
      </c>
      <c r="Z11" s="20" t="s">
        <v>10</v>
      </c>
      <c r="AA11" s="20" t="s">
        <v>9</v>
      </c>
      <c r="AB11" s="18" t="s">
        <v>14</v>
      </c>
      <c r="AC11" s="18" t="s">
        <v>23</v>
      </c>
      <c r="AD11" s="18" t="s">
        <v>22</v>
      </c>
      <c r="AE11" s="18" t="s">
        <v>21</v>
      </c>
      <c r="AF11" s="18" t="s">
        <v>24</v>
      </c>
      <c r="AG11" s="19" t="s">
        <v>25</v>
      </c>
      <c r="AM11" s="6" t="s">
        <v>15</v>
      </c>
    </row>
    <row r="12" spans="1:39" s="6" customFormat="1" x14ac:dyDescent="0.3">
      <c r="A12" s="14">
        <v>45686.288298611114</v>
      </c>
      <c r="B12" s="15">
        <v>1282.9000000000001</v>
      </c>
      <c r="C12" s="15">
        <v>0</v>
      </c>
      <c r="D12" s="15">
        <v>0</v>
      </c>
      <c r="E12" s="15">
        <v>0</v>
      </c>
      <c r="F12" s="15">
        <v>43213</v>
      </c>
      <c r="G12" s="5"/>
      <c r="H12" s="5"/>
      <c r="I12" s="5"/>
      <c r="J12" s="5"/>
      <c r="K12" s="5"/>
      <c r="L12" s="5"/>
      <c r="M12" s="15">
        <v>4.333333333333333</v>
      </c>
      <c r="N12" s="15">
        <v>0</v>
      </c>
      <c r="O12" s="15">
        <v>-382.40000000000009</v>
      </c>
      <c r="P12" s="15">
        <v>900.5</v>
      </c>
      <c r="Q12" s="16">
        <f t="shared" ref="Q12:Q30" si="0">Q13-50</f>
        <v>21950</v>
      </c>
      <c r="R12" s="15">
        <v>1.6</v>
      </c>
      <c r="S12" s="15">
        <v>-2.4999999999999996</v>
      </c>
      <c r="T12" s="15">
        <v>286593.33333333331</v>
      </c>
      <c r="U12" s="15">
        <v>11722.333333333334</v>
      </c>
      <c r="V12" s="5"/>
      <c r="W12" s="5"/>
      <c r="X12" s="5"/>
      <c r="Y12" s="5"/>
      <c r="Z12" s="5"/>
      <c r="AA12" s="5"/>
      <c r="AB12" s="15">
        <v>43214</v>
      </c>
      <c r="AC12" s="15">
        <v>1.1499999999999999</v>
      </c>
      <c r="AD12" s="15">
        <v>3.75</v>
      </c>
      <c r="AE12" s="15">
        <v>4.333333333333333</v>
      </c>
      <c r="AF12" s="15">
        <v>4.0999999999999996</v>
      </c>
      <c r="AG12" s="14">
        <v>45686.288298611114</v>
      </c>
    </row>
    <row r="13" spans="1:39" s="6" customFormat="1" x14ac:dyDescent="0.3">
      <c r="A13" s="9">
        <v>45686.288310185184</v>
      </c>
      <c r="B13" s="5">
        <v>851.8</v>
      </c>
      <c r="C13" s="5">
        <v>1279.9333333333334</v>
      </c>
      <c r="D13" s="5">
        <v>1155</v>
      </c>
      <c r="E13" s="5">
        <v>869</v>
      </c>
      <c r="F13" s="5">
        <v>43215</v>
      </c>
      <c r="G13" s="5"/>
      <c r="H13" s="5"/>
      <c r="I13" s="5"/>
      <c r="J13" s="5"/>
      <c r="K13" s="5"/>
      <c r="L13" s="5"/>
      <c r="M13" s="5">
        <v>10930.333333333334</v>
      </c>
      <c r="N13" s="5">
        <v>6472.333333333333</v>
      </c>
      <c r="O13" s="5">
        <v>124.45000000000005</v>
      </c>
      <c r="P13" s="5">
        <v>976.25</v>
      </c>
      <c r="Q13" s="13">
        <f t="shared" si="0"/>
        <v>22000</v>
      </c>
      <c r="R13" s="5">
        <v>2</v>
      </c>
      <c r="S13" s="5">
        <v>-3.25</v>
      </c>
      <c r="T13" s="5">
        <v>1110755.3333333333</v>
      </c>
      <c r="U13" s="5">
        <v>161486</v>
      </c>
      <c r="V13" s="5"/>
      <c r="W13" s="5"/>
      <c r="X13" s="5"/>
      <c r="Y13" s="5"/>
      <c r="Z13" s="5"/>
      <c r="AA13" s="5"/>
      <c r="AB13" s="5">
        <v>43216</v>
      </c>
      <c r="AC13" s="5">
        <v>1.55</v>
      </c>
      <c r="AD13" s="5">
        <v>4.95</v>
      </c>
      <c r="AE13" s="5">
        <v>5.333333333333333</v>
      </c>
      <c r="AF13" s="5">
        <v>5.25</v>
      </c>
      <c r="AG13" s="9">
        <v>45686.288310185184</v>
      </c>
    </row>
    <row r="14" spans="1:39" s="6" customFormat="1" x14ac:dyDescent="0.3">
      <c r="A14" s="9">
        <v>45686.288310185184</v>
      </c>
      <c r="B14" s="5">
        <v>1234.3499999999999</v>
      </c>
      <c r="C14" s="5">
        <v>0</v>
      </c>
      <c r="D14" s="5">
        <v>0</v>
      </c>
      <c r="E14" s="5">
        <v>0</v>
      </c>
      <c r="F14" s="5">
        <v>43217</v>
      </c>
      <c r="G14" s="5"/>
      <c r="H14" s="5"/>
      <c r="I14" s="5"/>
      <c r="J14" s="5"/>
      <c r="K14" s="5"/>
      <c r="L14" s="5"/>
      <c r="M14" s="5">
        <v>4.333333333333333</v>
      </c>
      <c r="N14" s="5">
        <v>0</v>
      </c>
      <c r="O14" s="5">
        <v>145.65000000000009</v>
      </c>
      <c r="P14" s="5">
        <v>1380</v>
      </c>
      <c r="Q14" s="13">
        <f t="shared" si="0"/>
        <v>22050</v>
      </c>
      <c r="R14" s="5">
        <v>2.25</v>
      </c>
      <c r="S14" s="5">
        <v>-4.05</v>
      </c>
      <c r="T14" s="5">
        <v>307869.66666666669</v>
      </c>
      <c r="U14" s="5">
        <v>9562.3333333333339</v>
      </c>
      <c r="V14" s="5"/>
      <c r="W14" s="5"/>
      <c r="X14" s="5"/>
      <c r="Y14" s="5"/>
      <c r="Z14" s="5"/>
      <c r="AA14" s="5"/>
      <c r="AB14" s="5">
        <v>43218</v>
      </c>
      <c r="AC14" s="5">
        <v>1.65</v>
      </c>
      <c r="AD14" s="5">
        <v>6.15</v>
      </c>
      <c r="AE14" s="5">
        <v>6.666666666666667</v>
      </c>
      <c r="AF14" s="5">
        <v>6.3</v>
      </c>
      <c r="AG14" s="9">
        <v>45686.288310185184</v>
      </c>
    </row>
    <row r="15" spans="1:39" s="6" customFormat="1" x14ac:dyDescent="0.3">
      <c r="A15" s="9">
        <v>45686.288310185184</v>
      </c>
      <c r="B15" s="5">
        <v>753.6</v>
      </c>
      <c r="C15" s="5">
        <v>1113.3333333333333</v>
      </c>
      <c r="D15" s="5">
        <v>1055</v>
      </c>
      <c r="E15" s="5">
        <v>776.9</v>
      </c>
      <c r="F15" s="5">
        <v>43219</v>
      </c>
      <c r="G15" s="5"/>
      <c r="H15" s="5"/>
      <c r="I15" s="5"/>
      <c r="J15" s="5"/>
      <c r="K15" s="5"/>
      <c r="L15" s="5"/>
      <c r="M15" s="5">
        <v>5677</v>
      </c>
      <c r="N15" s="5">
        <v>18809.666666666668</v>
      </c>
      <c r="O15" s="5">
        <v>116.04999999999995</v>
      </c>
      <c r="P15" s="5">
        <v>869.65</v>
      </c>
      <c r="Q15" s="13">
        <f t="shared" si="0"/>
        <v>22100</v>
      </c>
      <c r="R15" s="5">
        <v>2.5499999999999998</v>
      </c>
      <c r="S15" s="5">
        <v>-5.15</v>
      </c>
      <c r="T15" s="5">
        <v>709824</v>
      </c>
      <c r="U15" s="5">
        <v>50681.333333333336</v>
      </c>
      <c r="V15" s="5"/>
      <c r="W15" s="5"/>
      <c r="X15" s="5"/>
      <c r="Y15" s="5"/>
      <c r="Z15" s="5"/>
      <c r="AA15" s="5"/>
      <c r="AB15" s="5">
        <v>43220</v>
      </c>
      <c r="AC15" s="5">
        <v>2.1</v>
      </c>
      <c r="AD15" s="5">
        <v>7.8</v>
      </c>
      <c r="AE15" s="5">
        <v>6.666666666666667</v>
      </c>
      <c r="AF15" s="5">
        <v>7.7</v>
      </c>
      <c r="AG15" s="9">
        <v>45686.288298611114</v>
      </c>
    </row>
    <row r="16" spans="1:39" s="6" customFormat="1" x14ac:dyDescent="0.3">
      <c r="A16" s="9">
        <v>45686.288310185184</v>
      </c>
      <c r="B16" s="5">
        <v>710.7</v>
      </c>
      <c r="C16" s="5">
        <v>1056.0666666666666</v>
      </c>
      <c r="D16" s="5">
        <v>1005.65</v>
      </c>
      <c r="E16" s="5">
        <v>730</v>
      </c>
      <c r="F16" s="5">
        <v>43221</v>
      </c>
      <c r="G16" s="5"/>
      <c r="H16" s="5"/>
      <c r="I16" s="5"/>
      <c r="J16" s="5"/>
      <c r="K16" s="5"/>
      <c r="L16" s="5"/>
      <c r="M16" s="5">
        <v>14</v>
      </c>
      <c r="N16" s="5">
        <v>46.666666666666664</v>
      </c>
      <c r="O16" s="5">
        <v>128.59999999999991</v>
      </c>
      <c r="P16" s="5">
        <v>839.3</v>
      </c>
      <c r="Q16" s="13">
        <f t="shared" si="0"/>
        <v>22150</v>
      </c>
      <c r="R16" s="5">
        <v>3</v>
      </c>
      <c r="S16" s="5">
        <v>-6.6</v>
      </c>
      <c r="T16" s="5">
        <v>375525.33333333331</v>
      </c>
      <c r="U16" s="5">
        <v>14011.333333333334</v>
      </c>
      <c r="V16" s="5"/>
      <c r="W16" s="5"/>
      <c r="X16" s="5"/>
      <c r="Y16" s="5"/>
      <c r="Z16" s="5"/>
      <c r="AA16" s="5"/>
      <c r="AB16" s="5">
        <v>43224</v>
      </c>
      <c r="AC16" s="5">
        <v>2.35</v>
      </c>
      <c r="AD16" s="5">
        <v>9.85</v>
      </c>
      <c r="AE16" s="5">
        <v>8.7333333333333325</v>
      </c>
      <c r="AF16" s="5">
        <v>9.6</v>
      </c>
      <c r="AG16" s="9">
        <v>45686.288310185184</v>
      </c>
    </row>
    <row r="17" spans="1:33" s="6" customFormat="1" x14ac:dyDescent="0.3">
      <c r="A17" s="9">
        <v>45686.288310185184</v>
      </c>
      <c r="B17" s="5">
        <v>660.4</v>
      </c>
      <c r="C17" s="5">
        <v>992.4666666666667</v>
      </c>
      <c r="D17" s="5">
        <v>948.4</v>
      </c>
      <c r="E17" s="5">
        <v>685</v>
      </c>
      <c r="F17" s="5">
        <v>43225</v>
      </c>
      <c r="G17" s="5"/>
      <c r="H17" s="5"/>
      <c r="I17" s="5"/>
      <c r="J17" s="5"/>
      <c r="K17" s="5"/>
      <c r="L17" s="5"/>
      <c r="M17" s="5">
        <v>168.66666666666666</v>
      </c>
      <c r="N17" s="5">
        <v>317</v>
      </c>
      <c r="O17" s="5">
        <v>130.95000000000005</v>
      </c>
      <c r="P17" s="5">
        <v>791.35</v>
      </c>
      <c r="Q17" s="13">
        <f t="shared" si="0"/>
        <v>22200</v>
      </c>
      <c r="R17" s="5">
        <v>3.8</v>
      </c>
      <c r="S17" s="5">
        <v>-8.3999999999999986</v>
      </c>
      <c r="T17" s="5">
        <v>769610.66666666663</v>
      </c>
      <c r="U17" s="5">
        <v>67508.666666666672</v>
      </c>
      <c r="V17" s="5"/>
      <c r="W17" s="5"/>
      <c r="X17" s="5"/>
      <c r="Y17" s="5"/>
      <c r="Z17" s="5"/>
      <c r="AA17" s="5"/>
      <c r="AB17" s="5">
        <v>43226</v>
      </c>
      <c r="AC17" s="5">
        <v>2.95</v>
      </c>
      <c r="AD17" s="5">
        <v>12.5</v>
      </c>
      <c r="AE17" s="5">
        <v>11.333333333333334</v>
      </c>
      <c r="AF17" s="5">
        <v>12.2</v>
      </c>
      <c r="AG17" s="9">
        <v>45686.288310185184</v>
      </c>
    </row>
    <row r="18" spans="1:33" s="6" customFormat="1" x14ac:dyDescent="0.3">
      <c r="A18" s="9">
        <v>45686.288310185184</v>
      </c>
      <c r="B18" s="5">
        <v>614.15</v>
      </c>
      <c r="C18" s="5">
        <v>925.6</v>
      </c>
      <c r="D18" s="5">
        <v>818</v>
      </c>
      <c r="E18" s="5">
        <v>635.15</v>
      </c>
      <c r="F18" s="5">
        <v>43233</v>
      </c>
      <c r="G18" s="5"/>
      <c r="H18" s="5"/>
      <c r="I18" s="5"/>
      <c r="J18" s="5"/>
      <c r="K18" s="5"/>
      <c r="L18" s="5"/>
      <c r="M18" s="5">
        <v>22.666666666666668</v>
      </c>
      <c r="N18" s="5">
        <v>42.333333333333336</v>
      </c>
      <c r="O18" s="5">
        <v>131</v>
      </c>
      <c r="P18" s="5">
        <v>745.15</v>
      </c>
      <c r="Q18" s="13">
        <f t="shared" si="0"/>
        <v>22250</v>
      </c>
      <c r="R18" s="5">
        <v>4.8</v>
      </c>
      <c r="S18" s="5">
        <v>-10.199999999999999</v>
      </c>
      <c r="T18" s="5">
        <v>394829.33333333331</v>
      </c>
      <c r="U18" s="5">
        <v>19014</v>
      </c>
      <c r="V18" s="5"/>
      <c r="W18" s="5"/>
      <c r="X18" s="5"/>
      <c r="Y18" s="5"/>
      <c r="Z18" s="5"/>
      <c r="AA18" s="5"/>
      <c r="AB18" s="5">
        <v>43234</v>
      </c>
      <c r="AC18" s="5">
        <v>3.7</v>
      </c>
      <c r="AD18" s="5">
        <v>15.6</v>
      </c>
      <c r="AE18" s="5">
        <v>9.3333333333333339</v>
      </c>
      <c r="AF18" s="5">
        <v>15</v>
      </c>
      <c r="AG18" s="9">
        <v>45686.288310185184</v>
      </c>
    </row>
    <row r="19" spans="1:33" s="6" customFormat="1" x14ac:dyDescent="0.3">
      <c r="A19" s="9">
        <v>45686.288298611114</v>
      </c>
      <c r="B19" s="5">
        <v>565.45000000000005</v>
      </c>
      <c r="C19" s="5">
        <v>855.73333333333335</v>
      </c>
      <c r="D19" s="5">
        <v>851.45</v>
      </c>
      <c r="E19" s="5">
        <v>588.45000000000005</v>
      </c>
      <c r="F19" s="5">
        <v>43235</v>
      </c>
      <c r="G19" s="5"/>
      <c r="H19" s="5"/>
      <c r="I19" s="5"/>
      <c r="J19" s="5"/>
      <c r="K19" s="5"/>
      <c r="L19" s="5"/>
      <c r="M19" s="5">
        <v>2260</v>
      </c>
      <c r="N19" s="5">
        <v>2481.3333333333335</v>
      </c>
      <c r="O19" s="5">
        <v>124.44999999999993</v>
      </c>
      <c r="P19" s="5">
        <v>689.9</v>
      </c>
      <c r="Q19" s="13">
        <f t="shared" si="0"/>
        <v>22300</v>
      </c>
      <c r="R19" s="5">
        <v>6.45</v>
      </c>
      <c r="S19" s="5">
        <v>-12.45</v>
      </c>
      <c r="T19" s="5">
        <v>667890.33333333337</v>
      </c>
      <c r="U19" s="5">
        <v>40711.333333333336</v>
      </c>
      <c r="V19" s="5"/>
      <c r="W19" s="5"/>
      <c r="X19" s="5"/>
      <c r="Y19" s="5"/>
      <c r="Z19" s="5"/>
      <c r="AA19" s="5"/>
      <c r="AB19" s="5">
        <v>43236</v>
      </c>
      <c r="AC19" s="5">
        <v>4.3</v>
      </c>
      <c r="AD19" s="5">
        <v>19.7</v>
      </c>
      <c r="AE19" s="5">
        <v>13.866666666666667</v>
      </c>
      <c r="AF19" s="5">
        <v>18.899999999999999</v>
      </c>
      <c r="AG19" s="9">
        <v>45686.288310185184</v>
      </c>
    </row>
    <row r="20" spans="1:33" s="6" customFormat="1" x14ac:dyDescent="0.3">
      <c r="A20" s="9">
        <v>45686.288298611114</v>
      </c>
      <c r="B20" s="5">
        <v>514.25</v>
      </c>
      <c r="C20" s="5">
        <v>790.5333333333333</v>
      </c>
      <c r="D20" s="5">
        <v>803.3</v>
      </c>
      <c r="E20" s="5">
        <v>545.6</v>
      </c>
      <c r="F20" s="5">
        <v>43237</v>
      </c>
      <c r="G20" s="5"/>
      <c r="H20" s="5"/>
      <c r="I20" s="5"/>
      <c r="J20" s="5"/>
      <c r="K20" s="5"/>
      <c r="L20" s="5"/>
      <c r="M20" s="5">
        <v>181</v>
      </c>
      <c r="N20" s="5">
        <v>781</v>
      </c>
      <c r="O20" s="5">
        <v>112.60000000000002</v>
      </c>
      <c r="P20" s="5">
        <v>626.85</v>
      </c>
      <c r="Q20" s="13">
        <f t="shared" si="0"/>
        <v>22350</v>
      </c>
      <c r="R20" s="5">
        <v>8.35</v>
      </c>
      <c r="S20" s="5">
        <v>-14.799999999999999</v>
      </c>
      <c r="T20" s="5">
        <v>326429</v>
      </c>
      <c r="U20" s="5">
        <v>18721.333333333332</v>
      </c>
      <c r="V20" s="5"/>
      <c r="W20" s="5"/>
      <c r="X20" s="5"/>
      <c r="Y20" s="5"/>
      <c r="Z20" s="5"/>
      <c r="AA20" s="5"/>
      <c r="AB20" s="5">
        <v>43238</v>
      </c>
      <c r="AC20" s="5">
        <v>5.15</v>
      </c>
      <c r="AD20" s="5">
        <v>26</v>
      </c>
      <c r="AE20" s="5">
        <v>34.666666666666664</v>
      </c>
      <c r="AF20" s="5">
        <v>23.15</v>
      </c>
      <c r="AG20" s="9">
        <v>45686.288298611114</v>
      </c>
    </row>
    <row r="21" spans="1:33" s="6" customFormat="1" x14ac:dyDescent="0.3">
      <c r="A21" s="9">
        <v>45686.288310185184</v>
      </c>
      <c r="B21" s="5">
        <v>476.1</v>
      </c>
      <c r="C21" s="5">
        <v>746.66666666666663</v>
      </c>
      <c r="D21" s="5">
        <v>757.95</v>
      </c>
      <c r="E21" s="5">
        <v>499.65</v>
      </c>
      <c r="F21" s="5">
        <v>43239</v>
      </c>
      <c r="G21" s="5"/>
      <c r="H21" s="5"/>
      <c r="I21" s="5"/>
      <c r="J21" s="5"/>
      <c r="K21" s="5"/>
      <c r="L21" s="5"/>
      <c r="M21" s="5">
        <v>356.66666666666669</v>
      </c>
      <c r="N21" s="5">
        <v>3015.6666666666665</v>
      </c>
      <c r="O21" s="5">
        <v>111.25</v>
      </c>
      <c r="P21" s="5">
        <v>587.35</v>
      </c>
      <c r="Q21" s="13">
        <f t="shared" si="0"/>
        <v>22400</v>
      </c>
      <c r="R21" s="5">
        <v>11.1</v>
      </c>
      <c r="S21" s="5">
        <v>-17.850000000000001</v>
      </c>
      <c r="T21" s="5">
        <v>694200.33333333337</v>
      </c>
      <c r="U21" s="5">
        <v>65668.666666666672</v>
      </c>
      <c r="V21" s="5"/>
      <c r="W21" s="5"/>
      <c r="X21" s="5"/>
      <c r="Y21" s="5"/>
      <c r="Z21" s="5"/>
      <c r="AA21" s="5"/>
      <c r="AB21" s="5">
        <v>43240</v>
      </c>
      <c r="AC21" s="5">
        <v>6.6</v>
      </c>
      <c r="AD21" s="5">
        <v>30.4</v>
      </c>
      <c r="AE21" s="5">
        <v>24.6</v>
      </c>
      <c r="AF21" s="5">
        <v>28.95</v>
      </c>
      <c r="AG21" s="9">
        <v>45686.288310185184</v>
      </c>
    </row>
    <row r="22" spans="1:33" s="6" customFormat="1" x14ac:dyDescent="0.3">
      <c r="A22" s="9">
        <v>45686.288310185184</v>
      </c>
      <c r="B22" s="5">
        <v>434.45</v>
      </c>
      <c r="C22" s="5">
        <v>712.4</v>
      </c>
      <c r="D22" s="5">
        <v>706</v>
      </c>
      <c r="E22" s="5">
        <v>455.95</v>
      </c>
      <c r="F22" s="5">
        <v>43241</v>
      </c>
      <c r="G22" s="5"/>
      <c r="H22" s="5"/>
      <c r="I22" s="5"/>
      <c r="J22" s="5"/>
      <c r="K22" s="5"/>
      <c r="L22" s="5"/>
      <c r="M22" s="5">
        <v>223</v>
      </c>
      <c r="N22" s="5">
        <v>895</v>
      </c>
      <c r="O22" s="5">
        <v>99.800000000000011</v>
      </c>
      <c r="P22" s="5">
        <v>534.25</v>
      </c>
      <c r="Q22" s="13">
        <f t="shared" si="0"/>
        <v>22450</v>
      </c>
      <c r="R22" s="5">
        <v>14.3</v>
      </c>
      <c r="S22" s="5">
        <v>-21.3</v>
      </c>
      <c r="T22" s="5">
        <v>350489.33333333331</v>
      </c>
      <c r="U22" s="5">
        <v>13502.666666666666</v>
      </c>
      <c r="V22" s="5"/>
      <c r="W22" s="5"/>
      <c r="X22" s="5"/>
      <c r="Y22" s="5"/>
      <c r="Z22" s="5"/>
      <c r="AA22" s="5"/>
      <c r="AB22" s="5">
        <v>43242</v>
      </c>
      <c r="AC22" s="5">
        <v>8</v>
      </c>
      <c r="AD22" s="5">
        <v>37.799999999999997</v>
      </c>
      <c r="AE22" s="5">
        <v>28</v>
      </c>
      <c r="AF22" s="5">
        <v>35.6</v>
      </c>
      <c r="AG22" s="9">
        <v>45686.288298611114</v>
      </c>
    </row>
    <row r="23" spans="1:33" s="6" customFormat="1" x14ac:dyDescent="0.3">
      <c r="A23" s="9">
        <v>45686.288310185184</v>
      </c>
      <c r="B23" s="5">
        <v>391.15</v>
      </c>
      <c r="C23" s="5">
        <v>608.4</v>
      </c>
      <c r="D23" s="5">
        <v>665</v>
      </c>
      <c r="E23" s="5">
        <v>412.75</v>
      </c>
      <c r="F23" s="5">
        <v>43243</v>
      </c>
      <c r="G23" s="5"/>
      <c r="H23" s="5"/>
      <c r="I23" s="5"/>
      <c r="J23" s="5"/>
      <c r="K23" s="5"/>
      <c r="L23" s="5"/>
      <c r="M23" s="5">
        <v>8389.3333333333339</v>
      </c>
      <c r="N23" s="5">
        <v>28693</v>
      </c>
      <c r="O23" s="5">
        <v>100.15000000000003</v>
      </c>
      <c r="P23" s="5">
        <v>491.3</v>
      </c>
      <c r="Q23" s="13">
        <f t="shared" si="0"/>
        <v>22500</v>
      </c>
      <c r="R23" s="5">
        <v>18.55</v>
      </c>
      <c r="S23" s="5">
        <v>-24.999999999999996</v>
      </c>
      <c r="T23" s="5">
        <v>1032140.3333333334</v>
      </c>
      <c r="U23" s="5">
        <v>84839.333333333328</v>
      </c>
      <c r="V23" s="5"/>
      <c r="W23" s="5"/>
      <c r="X23" s="5"/>
      <c r="Y23" s="5"/>
      <c r="Z23" s="5"/>
      <c r="AA23" s="5"/>
      <c r="AB23" s="5">
        <v>43244</v>
      </c>
      <c r="AC23" s="5">
        <v>9.85</v>
      </c>
      <c r="AD23" s="5">
        <v>45.95</v>
      </c>
      <c r="AE23" s="5">
        <v>35.4</v>
      </c>
      <c r="AF23" s="5">
        <v>43.55</v>
      </c>
      <c r="AG23" s="9">
        <v>45686.288310185184</v>
      </c>
    </row>
    <row r="24" spans="1:33" s="6" customFormat="1" x14ac:dyDescent="0.3">
      <c r="A24" s="9">
        <v>45686.288310185184</v>
      </c>
      <c r="B24" s="5">
        <v>349.35</v>
      </c>
      <c r="C24" s="5">
        <v>586.6</v>
      </c>
      <c r="D24" s="5">
        <v>610.15</v>
      </c>
      <c r="E24" s="5">
        <v>374.25</v>
      </c>
      <c r="F24" s="5">
        <v>43245</v>
      </c>
      <c r="G24" s="5"/>
      <c r="H24" s="5"/>
      <c r="I24" s="5"/>
      <c r="J24" s="5"/>
      <c r="K24" s="5"/>
      <c r="L24" s="5"/>
      <c r="M24" s="5">
        <v>469</v>
      </c>
      <c r="N24" s="5">
        <v>2158.6666666666665</v>
      </c>
      <c r="O24" s="5">
        <v>100.09999999999997</v>
      </c>
      <c r="P24" s="5">
        <v>449.45</v>
      </c>
      <c r="Q24" s="13">
        <f t="shared" si="0"/>
        <v>22550</v>
      </c>
      <c r="R24" s="5">
        <v>23.45</v>
      </c>
      <c r="S24" s="5">
        <v>-29.900000000000002</v>
      </c>
      <c r="T24" s="5">
        <v>394176</v>
      </c>
      <c r="U24" s="5">
        <v>13511.666666666666</v>
      </c>
      <c r="V24" s="5"/>
      <c r="W24" s="5"/>
      <c r="X24" s="5"/>
      <c r="Y24" s="5"/>
      <c r="Z24" s="5"/>
      <c r="AA24" s="5"/>
      <c r="AB24" s="5">
        <v>43246</v>
      </c>
      <c r="AC24" s="5">
        <v>12.25</v>
      </c>
      <c r="AD24" s="5">
        <v>55.9</v>
      </c>
      <c r="AE24" s="5">
        <v>37.06666666666667</v>
      </c>
      <c r="AF24" s="5">
        <v>53.35</v>
      </c>
      <c r="AG24" s="9">
        <v>45686.288310185184</v>
      </c>
    </row>
    <row r="25" spans="1:33" s="6" customFormat="1" x14ac:dyDescent="0.3">
      <c r="A25" s="9">
        <v>45686.288310185184</v>
      </c>
      <c r="B25" s="5">
        <v>311.55</v>
      </c>
      <c r="C25" s="5">
        <v>504.46666666666664</v>
      </c>
      <c r="D25" s="5">
        <v>568</v>
      </c>
      <c r="E25" s="5">
        <v>333.7</v>
      </c>
      <c r="F25" s="5">
        <v>43247</v>
      </c>
      <c r="G25" s="5"/>
      <c r="H25" s="5"/>
      <c r="I25" s="5"/>
      <c r="J25" s="5"/>
      <c r="K25" s="5"/>
      <c r="L25" s="5"/>
      <c r="M25" s="5">
        <v>2563</v>
      </c>
      <c r="N25" s="5">
        <v>20363.333333333332</v>
      </c>
      <c r="O25" s="5">
        <v>90.599999999999966</v>
      </c>
      <c r="P25" s="5">
        <v>402.15</v>
      </c>
      <c r="Q25" s="13">
        <f t="shared" si="0"/>
        <v>22600</v>
      </c>
      <c r="R25" s="5">
        <v>30.3</v>
      </c>
      <c r="S25" s="5">
        <v>-34</v>
      </c>
      <c r="T25" s="5">
        <v>847289.66666666663</v>
      </c>
      <c r="U25" s="5">
        <v>38239.333333333336</v>
      </c>
      <c r="V25" s="5"/>
      <c r="W25" s="5"/>
      <c r="X25" s="5"/>
      <c r="Y25" s="5"/>
      <c r="Z25" s="5"/>
      <c r="AA25" s="5"/>
      <c r="AB25" s="5">
        <v>43248</v>
      </c>
      <c r="AC25" s="5">
        <v>15.05</v>
      </c>
      <c r="AD25" s="5">
        <v>67.599999999999994</v>
      </c>
      <c r="AE25" s="5">
        <v>54.93333333333333</v>
      </c>
      <c r="AF25" s="5">
        <v>64.3</v>
      </c>
      <c r="AG25" s="9">
        <v>45686.288310185184</v>
      </c>
    </row>
    <row r="26" spans="1:33" s="6" customFormat="1" x14ac:dyDescent="0.3">
      <c r="A26" s="9">
        <v>45686.288310185184</v>
      </c>
      <c r="B26" s="5">
        <v>275.95</v>
      </c>
      <c r="C26" s="5">
        <v>449.66666666666669</v>
      </c>
      <c r="D26" s="5">
        <v>522</v>
      </c>
      <c r="E26" s="5">
        <v>297.8</v>
      </c>
      <c r="F26" s="5">
        <v>43249</v>
      </c>
      <c r="G26" s="5"/>
      <c r="H26" s="5"/>
      <c r="I26" s="5"/>
      <c r="J26" s="5"/>
      <c r="K26" s="5"/>
      <c r="L26" s="5"/>
      <c r="M26" s="5">
        <v>2538.3333333333335</v>
      </c>
      <c r="N26" s="5">
        <v>12213.666666666666</v>
      </c>
      <c r="O26" s="5">
        <v>89.900000000000034</v>
      </c>
      <c r="P26" s="5">
        <v>365.85</v>
      </c>
      <c r="Q26" s="13">
        <f t="shared" si="0"/>
        <v>22650</v>
      </c>
      <c r="R26" s="5">
        <v>37.65</v>
      </c>
      <c r="S26" s="5">
        <v>-40.4</v>
      </c>
      <c r="T26" s="5">
        <v>403126</v>
      </c>
      <c r="U26" s="5">
        <v>13289.666666666666</v>
      </c>
      <c r="V26" s="5"/>
      <c r="W26" s="5"/>
      <c r="X26" s="5"/>
      <c r="Y26" s="5"/>
      <c r="Z26" s="5"/>
      <c r="AA26" s="5"/>
      <c r="AB26" s="5">
        <v>43254</v>
      </c>
      <c r="AC26" s="5">
        <v>18.75</v>
      </c>
      <c r="AD26" s="5">
        <v>81</v>
      </c>
      <c r="AE26" s="5">
        <v>67.666666666666671</v>
      </c>
      <c r="AF26" s="5">
        <v>78.05</v>
      </c>
      <c r="AG26" s="9">
        <v>45686.288310185184</v>
      </c>
    </row>
    <row r="27" spans="1:33" s="6" customFormat="1" x14ac:dyDescent="0.3">
      <c r="A27" s="9">
        <v>45686.288310185184</v>
      </c>
      <c r="B27" s="5">
        <v>240.6</v>
      </c>
      <c r="C27" s="5">
        <v>333.33333333333331</v>
      </c>
      <c r="D27" s="5">
        <v>477.85</v>
      </c>
      <c r="E27" s="5">
        <v>232</v>
      </c>
      <c r="F27" s="5">
        <v>43255</v>
      </c>
      <c r="G27" s="5"/>
      <c r="H27" s="5"/>
      <c r="I27" s="5"/>
      <c r="J27" s="5"/>
      <c r="K27" s="5"/>
      <c r="L27" s="5"/>
      <c r="M27" s="5">
        <v>6527.666666666667</v>
      </c>
      <c r="N27" s="5">
        <v>84174</v>
      </c>
      <c r="O27" s="5">
        <v>77.000000000000028</v>
      </c>
      <c r="P27" s="5">
        <v>317.60000000000002</v>
      </c>
      <c r="Q27" s="13">
        <f t="shared" si="0"/>
        <v>22700</v>
      </c>
      <c r="R27" s="5">
        <v>47.35</v>
      </c>
      <c r="S27" s="5">
        <v>-46.1</v>
      </c>
      <c r="T27" s="5">
        <v>911448.33333333337</v>
      </c>
      <c r="U27" s="5">
        <v>47450</v>
      </c>
      <c r="V27" s="5"/>
      <c r="W27" s="5"/>
      <c r="X27" s="5"/>
      <c r="Y27" s="5"/>
      <c r="Z27" s="5"/>
      <c r="AA27" s="5"/>
      <c r="AB27" s="5">
        <v>43256</v>
      </c>
      <c r="AC27" s="5">
        <v>23.45</v>
      </c>
      <c r="AD27" s="5">
        <v>97.65</v>
      </c>
      <c r="AE27" s="5">
        <v>89.333333333333329</v>
      </c>
      <c r="AF27" s="5">
        <v>93.45</v>
      </c>
      <c r="AG27" s="9">
        <v>45686.288310185184</v>
      </c>
    </row>
    <row r="28" spans="1:33" s="6" customFormat="1" x14ac:dyDescent="0.3">
      <c r="A28" s="9">
        <v>45686.288310185184</v>
      </c>
      <c r="B28" s="5">
        <v>208.8</v>
      </c>
      <c r="C28" s="5">
        <v>348</v>
      </c>
      <c r="D28" s="5">
        <v>432.05</v>
      </c>
      <c r="E28" s="5">
        <v>230.3</v>
      </c>
      <c r="F28" s="5">
        <v>43257</v>
      </c>
      <c r="G28" s="5"/>
      <c r="H28" s="5"/>
      <c r="I28" s="5"/>
      <c r="J28" s="5"/>
      <c r="K28" s="5"/>
      <c r="L28" s="5"/>
      <c r="M28" s="5">
        <v>5775.666666666667</v>
      </c>
      <c r="N28" s="5">
        <v>53099.333333333336</v>
      </c>
      <c r="O28" s="5">
        <v>74.050000000000011</v>
      </c>
      <c r="P28" s="5">
        <v>282.85000000000002</v>
      </c>
      <c r="Q28" s="13">
        <f t="shared" si="0"/>
        <v>22750</v>
      </c>
      <c r="R28" s="5">
        <v>58.65</v>
      </c>
      <c r="S28" s="5">
        <v>-52.699999999999996</v>
      </c>
      <c r="T28" s="5">
        <v>535750.66666666663</v>
      </c>
      <c r="U28" s="5">
        <v>18122.333333333332</v>
      </c>
      <c r="V28" s="5"/>
      <c r="W28" s="5"/>
      <c r="X28" s="5"/>
      <c r="Y28" s="5"/>
      <c r="Z28" s="5"/>
      <c r="AA28" s="5"/>
      <c r="AB28" s="5">
        <v>43258</v>
      </c>
      <c r="AC28" s="5">
        <v>29.05</v>
      </c>
      <c r="AD28" s="5">
        <v>115</v>
      </c>
      <c r="AE28" s="5">
        <v>109.8</v>
      </c>
      <c r="AF28" s="5">
        <v>111.35</v>
      </c>
      <c r="AG28" s="9">
        <v>45686.288310185184</v>
      </c>
    </row>
    <row r="29" spans="1:33" s="6" customFormat="1" x14ac:dyDescent="0.3">
      <c r="A29" s="9">
        <v>45686.288298611114</v>
      </c>
      <c r="B29" s="5">
        <v>179.45</v>
      </c>
      <c r="C29" s="5">
        <v>273.33333333333331</v>
      </c>
      <c r="D29" s="5">
        <v>391.55</v>
      </c>
      <c r="E29" s="5">
        <v>201.1</v>
      </c>
      <c r="F29" s="5">
        <v>43259</v>
      </c>
      <c r="G29" s="5"/>
      <c r="H29" s="5"/>
      <c r="I29" s="5"/>
      <c r="J29" s="5"/>
      <c r="K29" s="5"/>
      <c r="L29" s="5"/>
      <c r="M29" s="5">
        <v>20702.666666666668</v>
      </c>
      <c r="N29" s="5">
        <v>395791.33333333331</v>
      </c>
      <c r="O29" s="5">
        <v>66.050000000000011</v>
      </c>
      <c r="P29" s="5">
        <v>245.5</v>
      </c>
      <c r="Q29" s="13">
        <f t="shared" si="0"/>
        <v>22800</v>
      </c>
      <c r="R29" s="5">
        <v>72.2</v>
      </c>
      <c r="S29" s="5">
        <v>-59.499999999999986</v>
      </c>
      <c r="T29" s="5">
        <v>1307849</v>
      </c>
      <c r="U29" s="5">
        <v>71143.333333333328</v>
      </c>
      <c r="V29" s="5"/>
      <c r="W29" s="5"/>
      <c r="X29" s="5"/>
      <c r="Y29" s="5"/>
      <c r="Z29" s="5"/>
      <c r="AA29" s="5"/>
      <c r="AB29" s="5">
        <v>43260</v>
      </c>
      <c r="AC29" s="5">
        <v>35.950000000000003</v>
      </c>
      <c r="AD29" s="5">
        <v>134.94999999999999</v>
      </c>
      <c r="AE29" s="5">
        <v>117.26666666666667</v>
      </c>
      <c r="AF29" s="5">
        <v>131.69999999999999</v>
      </c>
      <c r="AG29" s="9">
        <v>45686.288298611114</v>
      </c>
    </row>
    <row r="30" spans="1:33" s="6" customFormat="1" x14ac:dyDescent="0.3">
      <c r="A30" s="9">
        <v>45686.288310185184</v>
      </c>
      <c r="B30" s="5">
        <v>152.80000000000001</v>
      </c>
      <c r="C30" s="5">
        <v>259.86666666666667</v>
      </c>
      <c r="D30" s="5">
        <v>350.35</v>
      </c>
      <c r="E30" s="5">
        <v>173</v>
      </c>
      <c r="F30" s="5">
        <v>43261</v>
      </c>
      <c r="G30" s="5"/>
      <c r="H30" s="5"/>
      <c r="I30" s="5"/>
      <c r="J30" s="5"/>
      <c r="K30" s="5"/>
      <c r="L30" s="5"/>
      <c r="M30" s="5">
        <v>12683</v>
      </c>
      <c r="N30" s="5">
        <v>344648</v>
      </c>
      <c r="O30" s="5">
        <v>59.299999999999983</v>
      </c>
      <c r="P30" s="5">
        <v>212.1</v>
      </c>
      <c r="Q30" s="13">
        <f t="shared" si="0"/>
        <v>22850</v>
      </c>
      <c r="R30" s="5">
        <v>88.2</v>
      </c>
      <c r="S30" s="5">
        <v>-66.749999999999986</v>
      </c>
      <c r="T30" s="5">
        <v>772379.33333333337</v>
      </c>
      <c r="U30" s="5">
        <v>29247.333333333332</v>
      </c>
      <c r="V30" s="5"/>
      <c r="W30" s="5"/>
      <c r="X30" s="5"/>
      <c r="Y30" s="5"/>
      <c r="Z30" s="5"/>
      <c r="AA30" s="5"/>
      <c r="AB30" s="5">
        <v>43262</v>
      </c>
      <c r="AC30" s="5">
        <v>44.2</v>
      </c>
      <c r="AD30" s="5">
        <v>157.05000000000001</v>
      </c>
      <c r="AE30" s="5">
        <v>148</v>
      </c>
      <c r="AF30" s="5">
        <v>154.94999999999999</v>
      </c>
      <c r="AG30" s="9">
        <v>45686.288310185184</v>
      </c>
    </row>
    <row r="31" spans="1:33" s="6" customFormat="1" x14ac:dyDescent="0.3">
      <c r="A31" s="9">
        <v>45686.288310185184</v>
      </c>
      <c r="B31" s="5">
        <v>128.4</v>
      </c>
      <c r="C31" s="5">
        <v>213.33333333333334</v>
      </c>
      <c r="D31" s="5">
        <v>312</v>
      </c>
      <c r="E31" s="5">
        <v>145</v>
      </c>
      <c r="F31" s="5">
        <v>43263</v>
      </c>
      <c r="G31" s="5"/>
      <c r="H31" s="5"/>
      <c r="I31" s="5"/>
      <c r="J31" s="5"/>
      <c r="K31" s="5"/>
      <c r="L31" s="5"/>
      <c r="M31" s="5">
        <v>44169.333333333336</v>
      </c>
      <c r="N31" s="5">
        <v>1259151.3333333333</v>
      </c>
      <c r="O31" s="5">
        <v>51.25</v>
      </c>
      <c r="P31" s="5">
        <v>179.65</v>
      </c>
      <c r="Q31" s="13">
        <f>Q32-50</f>
        <v>22900</v>
      </c>
      <c r="R31" s="5">
        <v>107.15</v>
      </c>
      <c r="S31" s="5">
        <v>-73.449999999999989</v>
      </c>
      <c r="T31" s="5">
        <v>1751594.6666666667</v>
      </c>
      <c r="U31" s="5">
        <v>75197.333333333328</v>
      </c>
      <c r="V31" s="5"/>
      <c r="W31" s="5"/>
      <c r="X31" s="5"/>
      <c r="Y31" s="5"/>
      <c r="Z31" s="5"/>
      <c r="AA31" s="5"/>
      <c r="AB31" s="5">
        <v>43264</v>
      </c>
      <c r="AC31" s="5">
        <v>53.9</v>
      </c>
      <c r="AD31" s="5">
        <v>182</v>
      </c>
      <c r="AE31" s="5">
        <v>185.86666666666667</v>
      </c>
      <c r="AF31" s="5">
        <v>180.6</v>
      </c>
      <c r="AG31" s="9">
        <v>45686.288310185184</v>
      </c>
    </row>
    <row r="32" spans="1:33" s="3" customFormat="1" x14ac:dyDescent="0.3">
      <c r="A32" s="10">
        <v>45686.288310185184</v>
      </c>
      <c r="B32" s="4">
        <v>107.2</v>
      </c>
      <c r="C32" s="4">
        <v>174.86666666666667</v>
      </c>
      <c r="D32" s="4">
        <v>274.5</v>
      </c>
      <c r="E32" s="4">
        <v>123.2</v>
      </c>
      <c r="F32" s="4">
        <v>43265</v>
      </c>
      <c r="G32" s="4"/>
      <c r="H32" s="4"/>
      <c r="I32" s="4"/>
      <c r="J32" s="4"/>
      <c r="K32" s="4"/>
      <c r="L32" s="4"/>
      <c r="M32" s="4">
        <v>24490.666666666668</v>
      </c>
      <c r="N32" s="4">
        <v>813450</v>
      </c>
      <c r="O32" s="4">
        <v>43.850000000000009</v>
      </c>
      <c r="P32" s="4">
        <v>151.05000000000001</v>
      </c>
      <c r="Q32" s="4">
        <v>22950</v>
      </c>
      <c r="R32" s="4">
        <v>128</v>
      </c>
      <c r="S32" s="4">
        <v>-80.5</v>
      </c>
      <c r="T32" s="4">
        <v>897196.33333333337</v>
      </c>
      <c r="U32" s="4">
        <v>32215.666666666668</v>
      </c>
      <c r="V32" s="4"/>
      <c r="W32" s="4"/>
      <c r="X32" s="4"/>
      <c r="Y32" s="4"/>
      <c r="Z32" s="4"/>
      <c r="AA32" s="4"/>
      <c r="AB32" s="4">
        <v>43270</v>
      </c>
      <c r="AC32" s="4">
        <v>65.900000000000006</v>
      </c>
      <c r="AD32" s="4">
        <v>208.3</v>
      </c>
      <c r="AE32" s="4">
        <v>211</v>
      </c>
      <c r="AF32" s="4">
        <v>208.5</v>
      </c>
      <c r="AG32" s="10">
        <v>45686.288310185184</v>
      </c>
    </row>
    <row r="33" spans="1:33" s="7" customFormat="1" x14ac:dyDescent="0.3">
      <c r="A33" s="11">
        <v>45686.288298611114</v>
      </c>
      <c r="B33" s="8">
        <v>88.3</v>
      </c>
      <c r="C33" s="8">
        <v>137.53333333333333</v>
      </c>
      <c r="D33" s="8">
        <v>240</v>
      </c>
      <c r="E33" s="8">
        <v>100.9</v>
      </c>
      <c r="F33" s="8">
        <v>43271</v>
      </c>
      <c r="G33" s="8"/>
      <c r="H33" s="8"/>
      <c r="I33" s="8"/>
      <c r="J33" s="8"/>
      <c r="K33" s="8"/>
      <c r="L33" s="8"/>
      <c r="M33" s="8">
        <v>114954.66666666667</v>
      </c>
      <c r="N33" s="8">
        <v>2167421.6666666665</v>
      </c>
      <c r="O33" s="8">
        <v>37.850000000000009</v>
      </c>
      <c r="P33" s="8">
        <v>126.15</v>
      </c>
      <c r="Q33" s="13">
        <f>Q32+50</f>
        <v>23000</v>
      </c>
      <c r="R33" s="8">
        <v>151.65</v>
      </c>
      <c r="S33" s="8">
        <v>-88.35</v>
      </c>
      <c r="T33" s="8">
        <v>1834570.3333333333</v>
      </c>
      <c r="U33" s="8">
        <v>135813.33333333334</v>
      </c>
      <c r="V33" s="8"/>
      <c r="W33" s="8"/>
      <c r="X33" s="8"/>
      <c r="Y33" s="8"/>
      <c r="Z33" s="8"/>
      <c r="AA33" s="8"/>
      <c r="AB33" s="8">
        <v>43272</v>
      </c>
      <c r="AC33" s="8">
        <v>79.55</v>
      </c>
      <c r="AD33" s="8">
        <v>237.7</v>
      </c>
      <c r="AE33" s="8">
        <v>246.6</v>
      </c>
      <c r="AF33" s="8">
        <v>240</v>
      </c>
      <c r="AG33" s="11">
        <v>45686.288310185184</v>
      </c>
    </row>
    <row r="34" spans="1:33" s="7" customFormat="1" x14ac:dyDescent="0.3">
      <c r="A34" s="11">
        <v>45686.288310185184</v>
      </c>
      <c r="B34" s="8">
        <v>72.650000000000006</v>
      </c>
      <c r="C34" s="8">
        <v>122.6</v>
      </c>
      <c r="D34" s="8">
        <v>206.5</v>
      </c>
      <c r="E34" s="8">
        <v>81.349999999999994</v>
      </c>
      <c r="F34" s="8">
        <v>43273</v>
      </c>
      <c r="G34" s="8"/>
      <c r="H34" s="8"/>
      <c r="I34" s="8"/>
      <c r="J34" s="8"/>
      <c r="K34" s="8"/>
      <c r="L34" s="8"/>
      <c r="M34" s="8">
        <v>22970</v>
      </c>
      <c r="N34" s="8">
        <v>904931.66666666663</v>
      </c>
      <c r="O34" s="8">
        <v>29.699999999999989</v>
      </c>
      <c r="P34" s="8">
        <v>102.35</v>
      </c>
      <c r="Q34" s="13">
        <f t="shared" ref="Q34:Q52" si="1">Q33+50</f>
        <v>23050</v>
      </c>
      <c r="R34" s="8">
        <v>179.4</v>
      </c>
      <c r="S34" s="8">
        <v>-94.35</v>
      </c>
      <c r="T34" s="8">
        <v>570574.33333333337</v>
      </c>
      <c r="U34" s="8">
        <v>21505.666666666668</v>
      </c>
      <c r="V34" s="8"/>
      <c r="W34" s="8"/>
      <c r="X34" s="8"/>
      <c r="Y34" s="8"/>
      <c r="Z34" s="8"/>
      <c r="AA34" s="8"/>
      <c r="AB34" s="8">
        <v>43274</v>
      </c>
      <c r="AC34" s="8">
        <v>96.5</v>
      </c>
      <c r="AD34" s="8">
        <v>269.35000000000002</v>
      </c>
      <c r="AE34" s="8">
        <v>290.66666666666669</v>
      </c>
      <c r="AF34" s="8">
        <v>273.75</v>
      </c>
      <c r="AG34" s="11">
        <v>45686.288310185184</v>
      </c>
    </row>
    <row r="35" spans="1:33" s="7" customFormat="1" x14ac:dyDescent="0.3">
      <c r="A35" s="11">
        <v>45686.288310185184</v>
      </c>
      <c r="B35" s="8">
        <v>59.35</v>
      </c>
      <c r="C35" s="8">
        <v>102.66666666666667</v>
      </c>
      <c r="D35" s="8">
        <v>176</v>
      </c>
      <c r="E35" s="8">
        <v>65</v>
      </c>
      <c r="F35" s="8">
        <v>43275</v>
      </c>
      <c r="G35" s="8"/>
      <c r="H35" s="8"/>
      <c r="I35" s="8"/>
      <c r="J35" s="8"/>
      <c r="K35" s="8"/>
      <c r="L35" s="8"/>
      <c r="M35" s="8">
        <v>63585.333333333336</v>
      </c>
      <c r="N35" s="8">
        <v>1466991.3333333333</v>
      </c>
      <c r="O35" s="8">
        <v>22.999999999999993</v>
      </c>
      <c r="P35" s="8">
        <v>82.35</v>
      </c>
      <c r="Q35" s="13">
        <f t="shared" si="1"/>
        <v>23100</v>
      </c>
      <c r="R35" s="8">
        <v>208.95</v>
      </c>
      <c r="S35" s="8">
        <v>-102.10000000000002</v>
      </c>
      <c r="T35" s="8">
        <v>623787</v>
      </c>
      <c r="U35" s="8">
        <v>38521.333333333336</v>
      </c>
      <c r="V35" s="8"/>
      <c r="W35" s="8"/>
      <c r="X35" s="8"/>
      <c r="Y35" s="8"/>
      <c r="Z35" s="8"/>
      <c r="AA35" s="8"/>
      <c r="AB35" s="8">
        <v>43286</v>
      </c>
      <c r="AC35" s="8">
        <v>115.35</v>
      </c>
      <c r="AD35" s="8">
        <v>304.60000000000002</v>
      </c>
      <c r="AE35" s="8">
        <v>392.06666666666666</v>
      </c>
      <c r="AF35" s="8">
        <v>311.05</v>
      </c>
      <c r="AG35" s="11">
        <v>45686.288310185184</v>
      </c>
    </row>
    <row r="36" spans="1:33" s="7" customFormat="1" x14ac:dyDescent="0.3">
      <c r="A36" s="11">
        <v>45686.288310185184</v>
      </c>
      <c r="B36" s="8">
        <v>48.55</v>
      </c>
      <c r="C36" s="8">
        <v>86.666666666666671</v>
      </c>
      <c r="D36" s="8">
        <v>148.44999999999999</v>
      </c>
      <c r="E36" s="8">
        <v>50.45</v>
      </c>
      <c r="F36" s="8">
        <v>43287</v>
      </c>
      <c r="G36" s="8"/>
      <c r="H36" s="8"/>
      <c r="I36" s="8"/>
      <c r="J36" s="8"/>
      <c r="K36" s="8"/>
      <c r="L36" s="8"/>
      <c r="M36" s="8">
        <v>20098.333333333332</v>
      </c>
      <c r="N36" s="8">
        <v>744527.33333333337</v>
      </c>
      <c r="O36" s="8">
        <v>16.150000000000006</v>
      </c>
      <c r="P36" s="8">
        <v>64.7</v>
      </c>
      <c r="Q36" s="13">
        <f t="shared" si="1"/>
        <v>23150</v>
      </c>
      <c r="R36" s="8">
        <v>239.15</v>
      </c>
      <c r="S36" s="8">
        <v>-111.99999999999997</v>
      </c>
      <c r="T36" s="8">
        <v>185163.66666666666</v>
      </c>
      <c r="U36" s="8">
        <v>12620.666666666666</v>
      </c>
      <c r="V36" s="8"/>
      <c r="W36" s="8"/>
      <c r="X36" s="8"/>
      <c r="Y36" s="8"/>
      <c r="Z36" s="8"/>
      <c r="AA36" s="8"/>
      <c r="AB36" s="8">
        <v>43491</v>
      </c>
      <c r="AC36" s="8">
        <v>137</v>
      </c>
      <c r="AD36" s="8">
        <v>340.1</v>
      </c>
      <c r="AE36" s="8">
        <v>355.93333333333334</v>
      </c>
      <c r="AF36" s="8">
        <v>351.15</v>
      </c>
      <c r="AG36" s="11">
        <v>45686.288310185184</v>
      </c>
    </row>
    <row r="37" spans="1:33" s="7" customFormat="1" x14ac:dyDescent="0.3">
      <c r="A37" s="11">
        <v>45686.288310185184</v>
      </c>
      <c r="B37" s="8">
        <v>39.25</v>
      </c>
      <c r="C37" s="8">
        <v>125.33333333333333</v>
      </c>
      <c r="D37" s="8">
        <v>122.95</v>
      </c>
      <c r="E37" s="8">
        <v>38.6</v>
      </c>
      <c r="F37" s="8">
        <v>43492</v>
      </c>
      <c r="G37" s="8"/>
      <c r="H37" s="8"/>
      <c r="I37" s="8"/>
      <c r="J37" s="8"/>
      <c r="K37" s="8"/>
      <c r="L37" s="8"/>
      <c r="M37" s="8">
        <v>73749</v>
      </c>
      <c r="N37" s="8">
        <v>1341845.6666666667</v>
      </c>
      <c r="O37" s="8">
        <v>11.149999999999999</v>
      </c>
      <c r="P37" s="8">
        <v>50.4</v>
      </c>
      <c r="Q37" s="13">
        <f t="shared" si="1"/>
        <v>23200</v>
      </c>
      <c r="R37" s="8">
        <v>274.39999999999998</v>
      </c>
      <c r="S37" s="8">
        <v>-117.40000000000003</v>
      </c>
      <c r="T37" s="8">
        <v>250552.33333333334</v>
      </c>
      <c r="U37" s="8">
        <v>30341.666666666668</v>
      </c>
      <c r="V37" s="8"/>
      <c r="W37" s="8"/>
      <c r="X37" s="8"/>
      <c r="Y37" s="8"/>
      <c r="Z37" s="8"/>
      <c r="AA37" s="8"/>
      <c r="AB37" s="8">
        <v>43607</v>
      </c>
      <c r="AC37" s="8">
        <v>161.05000000000001</v>
      </c>
      <c r="AD37" s="8">
        <v>379.9</v>
      </c>
      <c r="AE37" s="8">
        <v>406.73333333333335</v>
      </c>
      <c r="AF37" s="8">
        <v>391.8</v>
      </c>
      <c r="AG37" s="11">
        <v>45686.288310185184</v>
      </c>
    </row>
    <row r="38" spans="1:33" s="7" customFormat="1" x14ac:dyDescent="0.3">
      <c r="A38" s="11">
        <v>45686.288310185184</v>
      </c>
      <c r="B38" s="8">
        <v>32.1</v>
      </c>
      <c r="C38" s="8">
        <v>54.06666666666667</v>
      </c>
      <c r="D38" s="8">
        <v>100.15</v>
      </c>
      <c r="E38" s="8">
        <v>29.15</v>
      </c>
      <c r="F38" s="8">
        <v>43608</v>
      </c>
      <c r="G38" s="8"/>
      <c r="H38" s="8"/>
      <c r="I38" s="8"/>
      <c r="J38" s="8"/>
      <c r="K38" s="8"/>
      <c r="L38" s="8"/>
      <c r="M38" s="8">
        <v>27568.333333333332</v>
      </c>
      <c r="N38" s="8">
        <v>583453</v>
      </c>
      <c r="O38" s="8">
        <v>6.3500000000000014</v>
      </c>
      <c r="P38" s="8">
        <v>38.450000000000003</v>
      </c>
      <c r="Q38" s="13">
        <f t="shared" si="1"/>
        <v>23250</v>
      </c>
      <c r="R38" s="8">
        <v>312.39999999999998</v>
      </c>
      <c r="S38" s="8">
        <v>-122.30000000000001</v>
      </c>
      <c r="T38" s="8">
        <v>48768.333333333336</v>
      </c>
      <c r="U38" s="8">
        <v>15391.666666666666</v>
      </c>
      <c r="V38" s="8"/>
      <c r="W38" s="8"/>
      <c r="X38" s="8"/>
      <c r="Y38" s="8"/>
      <c r="Z38" s="8"/>
      <c r="AA38" s="8"/>
      <c r="AB38" s="8">
        <v>44235</v>
      </c>
      <c r="AC38" s="8">
        <v>189.85</v>
      </c>
      <c r="AD38" s="8">
        <v>420</v>
      </c>
      <c r="AE38" s="8">
        <v>449.8</v>
      </c>
      <c r="AF38" s="8">
        <v>434.7</v>
      </c>
      <c r="AG38" s="11">
        <v>45686.288310185184</v>
      </c>
    </row>
    <row r="39" spans="1:33" s="7" customFormat="1" x14ac:dyDescent="0.3">
      <c r="A39" s="11">
        <v>45686.288310185184</v>
      </c>
      <c r="B39" s="8">
        <v>26.2</v>
      </c>
      <c r="C39" s="8">
        <v>44.4</v>
      </c>
      <c r="D39" s="8">
        <v>80.55</v>
      </c>
      <c r="E39" s="8">
        <v>21.9</v>
      </c>
      <c r="F39" s="8">
        <v>44236</v>
      </c>
      <c r="G39" s="8"/>
      <c r="H39" s="8"/>
      <c r="I39" s="8"/>
      <c r="J39" s="8"/>
      <c r="K39" s="8"/>
      <c r="L39" s="8"/>
      <c r="M39" s="8">
        <v>80928.333333333328</v>
      </c>
      <c r="N39" s="8">
        <v>1188291.3333333333</v>
      </c>
      <c r="O39" s="8">
        <v>2.5</v>
      </c>
      <c r="P39" s="8">
        <v>28.7</v>
      </c>
      <c r="Q39" s="13">
        <f t="shared" si="1"/>
        <v>23300</v>
      </c>
      <c r="R39" s="8">
        <v>353.8</v>
      </c>
      <c r="S39" s="8">
        <v>-124.84999999999997</v>
      </c>
      <c r="T39" s="8">
        <v>80543</v>
      </c>
      <c r="U39" s="8">
        <v>22323</v>
      </c>
      <c r="V39" s="8"/>
      <c r="W39" s="8"/>
      <c r="X39" s="8"/>
      <c r="Y39" s="8"/>
      <c r="Z39" s="8"/>
      <c r="AA39" s="8"/>
      <c r="AB39" s="8">
        <v>45675</v>
      </c>
      <c r="AC39" s="8">
        <v>219.95</v>
      </c>
      <c r="AD39" s="8">
        <v>463.75</v>
      </c>
      <c r="AE39" s="8">
        <v>573.33333333333337</v>
      </c>
      <c r="AF39" s="8">
        <v>478.65</v>
      </c>
      <c r="AG39" s="11">
        <v>45686.288310185184</v>
      </c>
    </row>
    <row r="40" spans="1:33" s="7" customFormat="1" x14ac:dyDescent="0.3">
      <c r="A40" s="11">
        <v>45686.288310185184</v>
      </c>
      <c r="B40" s="8">
        <v>21.15</v>
      </c>
      <c r="C40" s="8">
        <v>35</v>
      </c>
      <c r="D40" s="8">
        <v>63</v>
      </c>
      <c r="E40" s="8">
        <v>16.399999999999999</v>
      </c>
      <c r="F40" s="8">
        <v>45676</v>
      </c>
      <c r="G40" s="8"/>
      <c r="H40" s="8"/>
      <c r="I40" s="8"/>
      <c r="J40" s="8"/>
      <c r="K40" s="8"/>
      <c r="L40" s="8"/>
      <c r="M40" s="8">
        <v>26100.666666666668</v>
      </c>
      <c r="N40" s="8">
        <v>540930</v>
      </c>
      <c r="O40" s="8">
        <v>0.55000000000000071</v>
      </c>
      <c r="P40" s="8">
        <v>21.7</v>
      </c>
      <c r="Q40" s="13">
        <f t="shared" si="1"/>
        <v>23350</v>
      </c>
      <c r="R40" s="8">
        <v>394.7</v>
      </c>
      <c r="S40" s="8">
        <v>-128.80000000000001</v>
      </c>
      <c r="T40" s="8">
        <v>11682.333333333334</v>
      </c>
      <c r="U40" s="8">
        <v>6541.333333333333</v>
      </c>
      <c r="V40" s="8"/>
      <c r="W40" s="8"/>
      <c r="X40" s="8"/>
      <c r="Y40" s="8"/>
      <c r="Z40" s="8"/>
      <c r="AA40" s="8"/>
      <c r="AB40" s="8">
        <v>45677</v>
      </c>
      <c r="AC40" s="8">
        <v>253.55</v>
      </c>
      <c r="AD40" s="8">
        <v>506.5</v>
      </c>
      <c r="AE40" s="8">
        <v>559.06666666666672</v>
      </c>
      <c r="AF40" s="8">
        <v>523.5</v>
      </c>
      <c r="AG40" s="11">
        <v>45686.288310185184</v>
      </c>
    </row>
    <row r="41" spans="1:33" s="7" customFormat="1" x14ac:dyDescent="0.3">
      <c r="A41" s="11">
        <v>45686.288310185184</v>
      </c>
      <c r="B41" s="8">
        <v>17.2</v>
      </c>
      <c r="C41" s="8">
        <v>28</v>
      </c>
      <c r="D41" s="8">
        <v>48.6</v>
      </c>
      <c r="E41" s="8">
        <v>12.1</v>
      </c>
      <c r="F41" s="8">
        <v>45678</v>
      </c>
      <c r="G41" s="8"/>
      <c r="H41" s="8"/>
      <c r="I41" s="8"/>
      <c r="J41" s="8"/>
      <c r="K41" s="8"/>
      <c r="L41" s="8"/>
      <c r="M41" s="8">
        <v>57557.333333333336</v>
      </c>
      <c r="N41" s="8">
        <v>1002003</v>
      </c>
      <c r="O41" s="8">
        <v>-1.5</v>
      </c>
      <c r="P41" s="8">
        <v>15.7</v>
      </c>
      <c r="Q41" s="13">
        <f t="shared" si="1"/>
        <v>23400</v>
      </c>
      <c r="R41" s="8">
        <v>439.6</v>
      </c>
      <c r="S41" s="8">
        <v>-128.85000000000002</v>
      </c>
      <c r="T41" s="8">
        <v>25019.333333333332</v>
      </c>
      <c r="U41" s="8">
        <v>13227.333333333334</v>
      </c>
      <c r="V41" s="8"/>
      <c r="W41" s="8"/>
      <c r="X41" s="8"/>
      <c r="Y41" s="8"/>
      <c r="Z41" s="8"/>
      <c r="AA41" s="8"/>
      <c r="AB41" s="8">
        <v>45683</v>
      </c>
      <c r="AC41" s="8">
        <v>289.35000000000002</v>
      </c>
      <c r="AD41" s="8">
        <v>551</v>
      </c>
      <c r="AE41" s="8">
        <v>617.66666666666663</v>
      </c>
      <c r="AF41" s="8">
        <v>568.45000000000005</v>
      </c>
      <c r="AG41" s="11">
        <v>45686.288310185184</v>
      </c>
    </row>
    <row r="42" spans="1:33" s="7" customFormat="1" x14ac:dyDescent="0.3">
      <c r="A42" s="11">
        <v>45686.288310185184</v>
      </c>
      <c r="B42" s="8">
        <v>14</v>
      </c>
      <c r="C42" s="8">
        <v>21.6</v>
      </c>
      <c r="D42" s="8">
        <v>36.75</v>
      </c>
      <c r="E42" s="8">
        <v>9.25</v>
      </c>
      <c r="F42" s="8">
        <v>45684</v>
      </c>
      <c r="G42" s="8"/>
      <c r="H42" s="8"/>
      <c r="I42" s="8"/>
      <c r="J42" s="8"/>
      <c r="K42" s="8"/>
      <c r="L42" s="8"/>
      <c r="M42" s="8">
        <v>21053.333333333332</v>
      </c>
      <c r="N42" s="8">
        <v>561956</v>
      </c>
      <c r="O42" s="8">
        <v>-2.1999999999999993</v>
      </c>
      <c r="P42" s="8">
        <v>11.8</v>
      </c>
      <c r="Q42" s="13">
        <f t="shared" si="1"/>
        <v>23450</v>
      </c>
      <c r="R42" s="8">
        <v>481.9</v>
      </c>
      <c r="S42" s="8">
        <v>-130.64999999999998</v>
      </c>
      <c r="T42" s="8">
        <v>2797</v>
      </c>
      <c r="U42" s="8">
        <v>4103.333333333333</v>
      </c>
      <c r="V42" s="8"/>
      <c r="W42" s="8"/>
      <c r="X42" s="8"/>
      <c r="Y42" s="8"/>
      <c r="Z42" s="8"/>
      <c r="AA42" s="8"/>
      <c r="AB42" s="8">
        <v>46238</v>
      </c>
      <c r="AC42" s="8">
        <v>327.85</v>
      </c>
      <c r="AD42" s="8">
        <v>619.6</v>
      </c>
      <c r="AE42" s="8">
        <v>826.13333333333333</v>
      </c>
      <c r="AF42" s="8">
        <v>612.54999999999995</v>
      </c>
      <c r="AG42" s="11">
        <v>45686.288310185184</v>
      </c>
    </row>
    <row r="43" spans="1:33" s="7" customFormat="1" x14ac:dyDescent="0.3">
      <c r="A43" s="11">
        <v>45686.288310185184</v>
      </c>
      <c r="B43" s="8">
        <v>11.4</v>
      </c>
      <c r="C43" s="8">
        <v>14.6</v>
      </c>
      <c r="D43" s="8">
        <v>27</v>
      </c>
      <c r="E43" s="8">
        <v>7.05</v>
      </c>
      <c r="F43" s="8">
        <v>46239</v>
      </c>
      <c r="G43" s="8"/>
      <c r="H43" s="8"/>
      <c r="I43" s="8"/>
      <c r="J43" s="8"/>
      <c r="K43" s="8"/>
      <c r="L43" s="8"/>
      <c r="M43" s="8">
        <v>99098.333333333328</v>
      </c>
      <c r="N43" s="8">
        <v>1203157.3333333333</v>
      </c>
      <c r="O43" s="8">
        <v>-2.6500000000000004</v>
      </c>
      <c r="P43" s="8">
        <v>8.75</v>
      </c>
      <c r="Q43" s="13">
        <f t="shared" si="1"/>
        <v>23500</v>
      </c>
      <c r="R43" s="8">
        <v>530.1</v>
      </c>
      <c r="S43" s="8">
        <v>-131.14999999999998</v>
      </c>
      <c r="T43" s="8">
        <v>35977.666666666664</v>
      </c>
      <c r="U43" s="8">
        <v>22960.666666666668</v>
      </c>
      <c r="V43" s="8"/>
      <c r="W43" s="8"/>
      <c r="X43" s="8"/>
      <c r="Y43" s="8"/>
      <c r="Z43" s="8"/>
      <c r="AA43" s="8"/>
      <c r="AB43" s="8">
        <v>46256</v>
      </c>
      <c r="AC43" s="8">
        <v>369.65</v>
      </c>
      <c r="AD43" s="8">
        <v>649.95000000000005</v>
      </c>
      <c r="AE43" s="8">
        <v>866.6</v>
      </c>
      <c r="AF43" s="8">
        <v>661.25</v>
      </c>
      <c r="AG43" s="11">
        <v>45686.288310185184</v>
      </c>
    </row>
    <row r="44" spans="1:33" s="7" customFormat="1" x14ac:dyDescent="0.3">
      <c r="A44" s="11">
        <v>45686.288298611114</v>
      </c>
      <c r="B44" s="8">
        <v>9.3000000000000007</v>
      </c>
      <c r="C44" s="8">
        <v>14.2</v>
      </c>
      <c r="D44" s="8">
        <v>20.7</v>
      </c>
      <c r="E44" s="8">
        <v>5.3</v>
      </c>
      <c r="F44" s="8">
        <v>46263</v>
      </c>
      <c r="G44" s="8"/>
      <c r="H44" s="8"/>
      <c r="I44" s="8"/>
      <c r="J44" s="8"/>
      <c r="K44" s="8"/>
      <c r="L44" s="8"/>
      <c r="M44" s="8">
        <v>25541.666666666668</v>
      </c>
      <c r="N44" s="8">
        <v>497234.66666666669</v>
      </c>
      <c r="O44" s="8">
        <v>-2.9000000000000004</v>
      </c>
      <c r="P44" s="8">
        <v>6.4</v>
      </c>
      <c r="Q44" s="13">
        <f t="shared" si="1"/>
        <v>23550</v>
      </c>
      <c r="R44" s="8">
        <v>570.35</v>
      </c>
      <c r="S44" s="8">
        <v>-138.29999999999995</v>
      </c>
      <c r="T44" s="8">
        <v>1076</v>
      </c>
      <c r="U44" s="8">
        <v>833.33333333333337</v>
      </c>
      <c r="V44" s="8"/>
      <c r="W44" s="8"/>
      <c r="X44" s="8"/>
      <c r="Y44" s="8"/>
      <c r="Z44" s="8"/>
      <c r="AA44" s="8"/>
      <c r="AB44" s="8">
        <v>46264</v>
      </c>
      <c r="AC44" s="8">
        <v>413.6</v>
      </c>
      <c r="AD44" s="8">
        <v>721.15</v>
      </c>
      <c r="AE44" s="8">
        <v>961.5333333333333</v>
      </c>
      <c r="AF44" s="8">
        <v>708.65</v>
      </c>
      <c r="AG44" s="11">
        <v>45686.288310185184</v>
      </c>
    </row>
    <row r="45" spans="1:33" s="7" customFormat="1" x14ac:dyDescent="0.3">
      <c r="A45" s="11">
        <v>45686.288298611114</v>
      </c>
      <c r="B45" s="8">
        <v>7.55</v>
      </c>
      <c r="C45" s="8">
        <v>13.2</v>
      </c>
      <c r="D45" s="8">
        <v>16</v>
      </c>
      <c r="E45" s="8">
        <v>4.2</v>
      </c>
      <c r="F45" s="8">
        <v>46269</v>
      </c>
      <c r="G45" s="8"/>
      <c r="H45" s="8"/>
      <c r="I45" s="8"/>
      <c r="J45" s="8"/>
      <c r="K45" s="8"/>
      <c r="L45" s="8"/>
      <c r="M45" s="8">
        <v>59650.666666666664</v>
      </c>
      <c r="N45" s="8">
        <v>809270.66666666663</v>
      </c>
      <c r="O45" s="8">
        <v>-2.7</v>
      </c>
      <c r="P45" s="8">
        <v>4.8499999999999996</v>
      </c>
      <c r="Q45" s="13">
        <f t="shared" si="1"/>
        <v>23600</v>
      </c>
      <c r="R45" s="8">
        <v>621.25</v>
      </c>
      <c r="S45" s="8">
        <v>-139</v>
      </c>
      <c r="T45" s="8">
        <v>5212.333333333333</v>
      </c>
      <c r="U45" s="8">
        <v>6024</v>
      </c>
      <c r="V45" s="8"/>
      <c r="W45" s="8"/>
      <c r="X45" s="8"/>
      <c r="Y45" s="8"/>
      <c r="Z45" s="8"/>
      <c r="AA45" s="8"/>
      <c r="AB45" s="8">
        <v>46270</v>
      </c>
      <c r="AC45" s="8">
        <v>458.55</v>
      </c>
      <c r="AD45" s="8">
        <v>734.35</v>
      </c>
      <c r="AE45" s="8">
        <v>853.33333333333337</v>
      </c>
      <c r="AF45" s="8">
        <v>760.25</v>
      </c>
      <c r="AG45" s="11">
        <v>45686.288310185184</v>
      </c>
    </row>
    <row r="46" spans="1:33" s="7" customFormat="1" x14ac:dyDescent="0.3">
      <c r="A46" s="11">
        <v>45686.288310185184</v>
      </c>
      <c r="B46" s="8">
        <v>6.25</v>
      </c>
      <c r="C46" s="8">
        <v>8.4666666666666668</v>
      </c>
      <c r="D46" s="8">
        <v>11.9</v>
      </c>
      <c r="E46" s="8">
        <v>3.3</v>
      </c>
      <c r="F46" s="8">
        <v>46271</v>
      </c>
      <c r="G46" s="8"/>
      <c r="H46" s="8"/>
      <c r="I46" s="8"/>
      <c r="J46" s="8"/>
      <c r="K46" s="8"/>
      <c r="L46" s="8"/>
      <c r="M46" s="8">
        <v>29739.333333333332</v>
      </c>
      <c r="N46" s="8">
        <v>488632.66666666669</v>
      </c>
      <c r="O46" s="8">
        <v>-2.6</v>
      </c>
      <c r="P46" s="8">
        <v>3.65</v>
      </c>
      <c r="Q46" s="13">
        <f t="shared" si="1"/>
        <v>23650</v>
      </c>
      <c r="R46" s="8">
        <v>676.4</v>
      </c>
      <c r="S46" s="8">
        <v>-136.30000000000007</v>
      </c>
      <c r="T46" s="8">
        <v>462.66666666666669</v>
      </c>
      <c r="U46" s="8">
        <v>1201.3333333333333</v>
      </c>
      <c r="V46" s="8"/>
      <c r="W46" s="8"/>
      <c r="X46" s="8"/>
      <c r="Y46" s="8"/>
      <c r="Z46" s="8"/>
      <c r="AA46" s="8"/>
      <c r="AB46" s="8">
        <v>46272</v>
      </c>
      <c r="AC46" s="8">
        <v>503</v>
      </c>
      <c r="AD46" s="8">
        <v>777.65</v>
      </c>
      <c r="AE46" s="8">
        <v>947</v>
      </c>
      <c r="AF46" s="8">
        <v>812.7</v>
      </c>
      <c r="AG46" s="11">
        <v>45686.288298611114</v>
      </c>
    </row>
    <row r="47" spans="1:33" s="7" customFormat="1" x14ac:dyDescent="0.3">
      <c r="A47" s="11">
        <v>45686.288310185184</v>
      </c>
      <c r="B47" s="8">
        <v>5.2</v>
      </c>
      <c r="C47" s="8">
        <v>7.8666666666666663</v>
      </c>
      <c r="D47" s="8">
        <v>8.8000000000000007</v>
      </c>
      <c r="E47" s="8">
        <v>2.65</v>
      </c>
      <c r="F47" s="8">
        <v>46273</v>
      </c>
      <c r="G47" s="8"/>
      <c r="H47" s="8"/>
      <c r="I47" s="8"/>
      <c r="J47" s="8"/>
      <c r="K47" s="8"/>
      <c r="L47" s="8"/>
      <c r="M47" s="8">
        <v>80077.333333333328</v>
      </c>
      <c r="N47" s="8">
        <v>827703</v>
      </c>
      <c r="O47" s="8">
        <v>-2.2000000000000002</v>
      </c>
      <c r="P47" s="8">
        <v>3</v>
      </c>
      <c r="Q47" s="13">
        <f t="shared" si="1"/>
        <v>23700</v>
      </c>
      <c r="R47" s="8">
        <v>721.95</v>
      </c>
      <c r="S47" s="8">
        <v>-130.09999999999991</v>
      </c>
      <c r="T47" s="8">
        <v>2365</v>
      </c>
      <c r="U47" s="8">
        <v>10664</v>
      </c>
      <c r="V47" s="8"/>
      <c r="W47" s="8"/>
      <c r="X47" s="8"/>
      <c r="Y47" s="8"/>
      <c r="Z47" s="8"/>
      <c r="AA47" s="8"/>
      <c r="AB47" s="8">
        <v>46274</v>
      </c>
      <c r="AC47" s="8">
        <v>550.5</v>
      </c>
      <c r="AD47" s="8">
        <v>835.8</v>
      </c>
      <c r="AE47" s="8">
        <v>1033.8</v>
      </c>
      <c r="AF47" s="8">
        <v>852.05</v>
      </c>
      <c r="AG47" s="11">
        <v>45686.288310185184</v>
      </c>
    </row>
    <row r="48" spans="1:33" s="7" customFormat="1" x14ac:dyDescent="0.3">
      <c r="A48" s="11">
        <v>45686.288310185184</v>
      </c>
      <c r="B48" s="8">
        <v>4.5999999999999996</v>
      </c>
      <c r="C48" s="8">
        <v>6.5333333333333332</v>
      </c>
      <c r="D48" s="8">
        <v>6.7</v>
      </c>
      <c r="E48" s="8">
        <v>2.0499999999999998</v>
      </c>
      <c r="F48" s="8">
        <v>46275</v>
      </c>
      <c r="G48" s="8"/>
      <c r="H48" s="8"/>
      <c r="I48" s="8"/>
      <c r="J48" s="8"/>
      <c r="K48" s="8"/>
      <c r="L48" s="8"/>
      <c r="M48" s="8">
        <v>26255.666666666668</v>
      </c>
      <c r="N48" s="8">
        <v>333142.33333333331</v>
      </c>
      <c r="O48" s="8">
        <v>-2.1999999999999997</v>
      </c>
      <c r="P48" s="8">
        <v>2.4</v>
      </c>
      <c r="Q48" s="13">
        <f t="shared" si="1"/>
        <v>23750</v>
      </c>
      <c r="R48" s="8">
        <v>767.9</v>
      </c>
      <c r="S48" s="8">
        <v>-132.85000000000002</v>
      </c>
      <c r="T48" s="8">
        <v>300.33333333333331</v>
      </c>
      <c r="U48" s="8">
        <v>1161.6666666666667</v>
      </c>
      <c r="V48" s="8"/>
      <c r="W48" s="8"/>
      <c r="X48" s="8"/>
      <c r="Y48" s="8"/>
      <c r="Z48" s="8"/>
      <c r="AA48" s="8"/>
      <c r="AB48" s="8">
        <v>46311</v>
      </c>
      <c r="AC48" s="8">
        <v>606.79999999999995</v>
      </c>
      <c r="AD48" s="8">
        <v>874.7</v>
      </c>
      <c r="AE48" s="8">
        <v>1072.2666666666667</v>
      </c>
      <c r="AF48" s="8">
        <v>900.75</v>
      </c>
      <c r="AG48" s="11">
        <v>45686.288310185184</v>
      </c>
    </row>
    <row r="49" spans="1:33" s="7" customFormat="1" x14ac:dyDescent="0.3">
      <c r="A49" s="11">
        <v>45686.288310185184</v>
      </c>
      <c r="B49" s="8">
        <v>3.8</v>
      </c>
      <c r="C49" s="8">
        <v>5.2666666666666666</v>
      </c>
      <c r="D49" s="8">
        <v>4.9000000000000004</v>
      </c>
      <c r="E49" s="8">
        <v>1</v>
      </c>
      <c r="F49" s="8">
        <v>46312</v>
      </c>
      <c r="G49" s="8"/>
      <c r="H49" s="8"/>
      <c r="I49" s="8"/>
      <c r="J49" s="8"/>
      <c r="K49" s="8"/>
      <c r="L49" s="8"/>
      <c r="M49" s="8">
        <v>75055</v>
      </c>
      <c r="N49" s="8">
        <v>696130.33333333337</v>
      </c>
      <c r="O49" s="8">
        <v>-1.6999999999999997</v>
      </c>
      <c r="P49" s="8">
        <v>2.1</v>
      </c>
      <c r="Q49" s="13">
        <f t="shared" si="1"/>
        <v>23800</v>
      </c>
      <c r="R49" s="8">
        <v>817.9</v>
      </c>
      <c r="S49" s="8">
        <v>-139.10000000000002</v>
      </c>
      <c r="T49" s="8">
        <v>5227.666666666667</v>
      </c>
      <c r="U49" s="8">
        <v>19442</v>
      </c>
      <c r="V49" s="8"/>
      <c r="W49" s="8"/>
      <c r="X49" s="8"/>
      <c r="Y49" s="8"/>
      <c r="Z49" s="8"/>
      <c r="AA49" s="8"/>
      <c r="AB49" s="8">
        <v>46327</v>
      </c>
      <c r="AC49" s="8">
        <v>646.04999999999995</v>
      </c>
      <c r="AD49" s="8">
        <v>933.15</v>
      </c>
      <c r="AE49" s="8">
        <v>1154.2666666666667</v>
      </c>
      <c r="AF49" s="8">
        <v>957</v>
      </c>
      <c r="AG49" s="11">
        <v>45686.288310185184</v>
      </c>
    </row>
    <row r="50" spans="1:33" s="7" customFormat="1" x14ac:dyDescent="0.3">
      <c r="A50" s="11">
        <v>45686.288310185184</v>
      </c>
      <c r="B50" s="8">
        <v>3.45</v>
      </c>
      <c r="C50" s="8">
        <v>4.5333333333333332</v>
      </c>
      <c r="D50" s="8">
        <v>3.9</v>
      </c>
      <c r="E50" s="8">
        <v>1.05</v>
      </c>
      <c r="F50" s="8">
        <v>46328</v>
      </c>
      <c r="G50" s="8"/>
      <c r="H50" s="8"/>
      <c r="I50" s="8"/>
      <c r="J50" s="8"/>
      <c r="K50" s="8"/>
      <c r="L50" s="8"/>
      <c r="M50" s="8">
        <v>17129</v>
      </c>
      <c r="N50" s="8">
        <v>226377.66666666666</v>
      </c>
      <c r="O50" s="8">
        <v>-1.6</v>
      </c>
      <c r="P50" s="8">
        <v>1.85</v>
      </c>
      <c r="Q50" s="13">
        <f t="shared" si="1"/>
        <v>23850</v>
      </c>
      <c r="R50" s="8">
        <v>890.35</v>
      </c>
      <c r="S50" s="8">
        <v>-110.64999999999998</v>
      </c>
      <c r="T50" s="8">
        <v>475.33333333333331</v>
      </c>
      <c r="U50" s="8">
        <v>855.66666666666663</v>
      </c>
      <c r="V50" s="8"/>
      <c r="W50" s="8"/>
      <c r="X50" s="8"/>
      <c r="Y50" s="8"/>
      <c r="Z50" s="8"/>
      <c r="AA50" s="8"/>
      <c r="AB50" s="8">
        <v>46333</v>
      </c>
      <c r="AC50" s="8">
        <v>706.25</v>
      </c>
      <c r="AD50" s="8">
        <v>970</v>
      </c>
      <c r="AE50" s="8">
        <v>1216.2666666666667</v>
      </c>
      <c r="AF50" s="8">
        <v>1001</v>
      </c>
      <c r="AG50" s="11">
        <v>45686.288310185184</v>
      </c>
    </row>
    <row r="51" spans="1:33" s="7" customFormat="1" x14ac:dyDescent="0.3">
      <c r="A51" s="11">
        <v>45686.288310185184</v>
      </c>
      <c r="B51" s="8">
        <v>3.15</v>
      </c>
      <c r="C51" s="8">
        <v>4.333333333333333</v>
      </c>
      <c r="D51" s="8">
        <v>3.3</v>
      </c>
      <c r="E51" s="8">
        <v>1.4</v>
      </c>
      <c r="F51" s="8">
        <v>46334</v>
      </c>
      <c r="G51" s="8"/>
      <c r="H51" s="8"/>
      <c r="I51" s="8"/>
      <c r="J51" s="8"/>
      <c r="K51" s="8"/>
      <c r="L51" s="8"/>
      <c r="M51" s="8">
        <v>49724.666666666664</v>
      </c>
      <c r="N51" s="8">
        <v>377209.33333333331</v>
      </c>
      <c r="O51" s="8">
        <v>-1.5</v>
      </c>
      <c r="P51" s="8">
        <v>1.65</v>
      </c>
      <c r="Q51" s="13">
        <f t="shared" si="1"/>
        <v>23900</v>
      </c>
      <c r="R51" s="8">
        <v>915.4</v>
      </c>
      <c r="S51" s="8">
        <v>-142.19999999999993</v>
      </c>
      <c r="T51" s="8">
        <v>3022</v>
      </c>
      <c r="U51" s="8">
        <v>10626.333333333334</v>
      </c>
      <c r="V51" s="8"/>
      <c r="W51" s="8"/>
      <c r="X51" s="8"/>
      <c r="Y51" s="8"/>
      <c r="Z51" s="8"/>
      <c r="AA51" s="8"/>
      <c r="AB51" s="8">
        <v>46340</v>
      </c>
      <c r="AC51" s="8">
        <v>748.1</v>
      </c>
      <c r="AD51" s="8">
        <v>1031.3</v>
      </c>
      <c r="AE51" s="8">
        <v>1272.9333333333334</v>
      </c>
      <c r="AF51" s="8">
        <v>1057.5999999999999</v>
      </c>
      <c r="AG51" s="11">
        <v>45686.288310185184</v>
      </c>
    </row>
    <row r="52" spans="1:33" s="7" customFormat="1" x14ac:dyDescent="0.3">
      <c r="A52" s="11">
        <v>45686.288310185184</v>
      </c>
      <c r="B52" s="8">
        <v>2.75</v>
      </c>
      <c r="C52" s="8">
        <v>3.6666666666666665</v>
      </c>
      <c r="D52" s="8">
        <v>2.85</v>
      </c>
      <c r="E52" s="8">
        <v>1.25</v>
      </c>
      <c r="F52" s="8">
        <v>46341</v>
      </c>
      <c r="G52" s="8"/>
      <c r="H52" s="8"/>
      <c r="I52" s="8"/>
      <c r="J52" s="8"/>
      <c r="K52" s="8"/>
      <c r="L52" s="8"/>
      <c r="M52" s="8">
        <v>16425.333333333332</v>
      </c>
      <c r="N52" s="8">
        <v>159402.33333333334</v>
      </c>
      <c r="O52" s="8">
        <v>-1.25</v>
      </c>
      <c r="P52" s="8">
        <v>1.5</v>
      </c>
      <c r="Q52" s="13">
        <f t="shared" si="1"/>
        <v>23950</v>
      </c>
      <c r="R52" s="8">
        <v>964.3</v>
      </c>
      <c r="S52" s="8">
        <v>-146.35000000000014</v>
      </c>
      <c r="T52" s="8">
        <v>108.33333333333333</v>
      </c>
      <c r="U52" s="8">
        <v>1004.3333333333334</v>
      </c>
      <c r="V52" s="8"/>
      <c r="W52" s="8"/>
      <c r="X52" s="8"/>
      <c r="Y52" s="8"/>
      <c r="Z52" s="8"/>
      <c r="AA52" s="8"/>
      <c r="AB52" s="8">
        <v>46342</v>
      </c>
      <c r="AC52" s="8">
        <v>801.2</v>
      </c>
      <c r="AD52" s="8">
        <v>1077.2</v>
      </c>
      <c r="AE52" s="8">
        <v>1356.2</v>
      </c>
      <c r="AF52" s="8">
        <v>1110.6500000000001</v>
      </c>
      <c r="AG52" s="11">
        <v>45686.288310185184</v>
      </c>
    </row>
  </sheetData>
  <conditionalFormatting sqref="T12:T52">
    <cfRule type="cellIs" dxfId="15" priority="129" stopIfTrue="1" operator="equal">
      <formula>1834570.33333333</formula>
    </cfRule>
    <cfRule type="cellIs" dxfId="14" priority="130" stopIfTrue="1" operator="greaterThanOrEqual">
      <formula>1375927.75</formula>
    </cfRule>
    <cfRule type="cellIs" dxfId="13" priority="131" stopIfTrue="1" operator="greaterThanOrEqual">
      <formula>1559384.78333333</formula>
    </cfRule>
    <cfRule type="cellIs" dxfId="12" priority="132" stopIfTrue="1" operator="greaterThanOrEqual">
      <formula>1651113.3</formula>
    </cfRule>
  </conditionalFormatting>
  <conditionalFormatting sqref="U12:U52">
    <cfRule type="cellIs" dxfId="11" priority="133" stopIfTrue="1" operator="equal">
      <formula>161486</formula>
    </cfRule>
    <cfRule type="cellIs" dxfId="10" priority="134" stopIfTrue="1" operator="greaterThanOrEqual">
      <formula>121114.5</formula>
    </cfRule>
    <cfRule type="cellIs" dxfId="9" priority="135" stopIfTrue="1" operator="greaterThanOrEqual">
      <formula>137263.1</formula>
    </cfRule>
    <cfRule type="cellIs" dxfId="8" priority="136" stopIfTrue="1" operator="greaterThanOrEqual">
      <formula>145337.4</formula>
    </cfRule>
  </conditionalFormatting>
  <conditionalFormatting sqref="N12:N52">
    <cfRule type="cellIs" dxfId="7" priority="137" stopIfTrue="1" operator="equal">
      <formula>2167421.66666667</formula>
    </cfRule>
    <cfRule type="cellIs" dxfId="6" priority="138" stopIfTrue="1" operator="greaterThanOrEqual">
      <formula>1625566.25</formula>
    </cfRule>
    <cfRule type="cellIs" dxfId="5" priority="139" stopIfTrue="1" operator="greaterThanOrEqual">
      <formula>1842308.41666667</formula>
    </cfRule>
    <cfRule type="cellIs" dxfId="4" priority="140" stopIfTrue="1" operator="greaterThanOrEqual">
      <formula>1950679.5</formula>
    </cfRule>
  </conditionalFormatting>
  <conditionalFormatting sqref="M12:M52">
    <cfRule type="cellIs" dxfId="3" priority="141" stopIfTrue="1" operator="equal">
      <formula>114954.666666667</formula>
    </cfRule>
    <cfRule type="cellIs" dxfId="2" priority="142" stopIfTrue="1" operator="greaterThanOrEqual">
      <formula>86216</formula>
    </cfRule>
    <cfRule type="cellIs" dxfId="1" priority="143" stopIfTrue="1" operator="greaterThanOrEqual">
      <formula>97711.4666666667</formula>
    </cfRule>
    <cfRule type="cellIs" dxfId="0" priority="144" stopIfTrue="1" operator="greaterThanOrEqual">
      <formula>103459.2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credential</vt:lpstr>
      <vt:lpstr>nifty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Neeraj Prajapati</dc:creator>
  <cp:lastModifiedBy>Neeraj Prajapati</cp:lastModifiedBy>
  <dcterms:created xsi:type="dcterms:W3CDTF">2015-06-05T18:17:20Z</dcterms:created>
  <dcterms:modified xsi:type="dcterms:W3CDTF">2025-01-29T02:42:35Z</dcterms:modified>
</cp:coreProperties>
</file>